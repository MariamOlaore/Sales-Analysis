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RYAM\Downloads\Telegram Desktop\"/>
    </mc:Choice>
  </mc:AlternateContent>
  <xr:revisionPtr revIDLastSave="0" documentId="8_{1CB41C11-8583-40A2-B020-4D578CC617EE}" xr6:coauthVersionLast="36" xr6:coauthVersionMax="36" xr10:uidLastSave="{00000000-0000-0000-0000-000000000000}"/>
  <bookViews>
    <workbookView xWindow="0" yWindow="0" windowWidth="15200" windowHeight="8130" xr2:uid="{00000000-000D-0000-FFFF-FFFF00000000}"/>
  </bookViews>
  <sheets>
    <sheet name="Raw Sales Data" sheetId="1" r:id="rId1"/>
  </sheets>
  <definedNames>
    <definedName name="_xlnm._FilterDatabase" localSheetId="0" hidden="1">'Raw Sales Data'!$A$1:$N$301</definedName>
  </definedNames>
  <calcPr calcId="191029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2" i="1"/>
</calcChain>
</file>

<file path=xl/sharedStrings.xml><?xml version="1.0" encoding="utf-8"?>
<sst xmlns="http://schemas.openxmlformats.org/spreadsheetml/2006/main" count="2718" uniqueCount="383">
  <si>
    <t>Order ID</t>
  </si>
  <si>
    <t>Order Date</t>
  </si>
  <si>
    <t>Customer</t>
  </si>
  <si>
    <t>Region</t>
  </si>
  <si>
    <t>City</t>
  </si>
  <si>
    <t>Department</t>
  </si>
  <si>
    <t>Product</t>
  </si>
  <si>
    <t>Category</t>
  </si>
  <si>
    <t>Quantity</t>
  </si>
  <si>
    <t>Unit Price</t>
  </si>
  <si>
    <t>Discount</t>
  </si>
  <si>
    <t>Unit Cost</t>
  </si>
  <si>
    <t>Payment Method</t>
  </si>
  <si>
    <t>Status</t>
  </si>
  <si>
    <t>ORD-0001</t>
  </si>
  <si>
    <t>Ifeoma Musa</t>
  </si>
  <si>
    <t>North</t>
  </si>
  <si>
    <t>Abuja</t>
  </si>
  <si>
    <t>HR</t>
  </si>
  <si>
    <t>Headphones</t>
  </si>
  <si>
    <t>Accessories</t>
  </si>
  <si>
    <t>Card</t>
  </si>
  <si>
    <t>Pending</t>
  </si>
  <si>
    <t>ORD-0002</t>
  </si>
  <si>
    <t>Chiamaka Obi</t>
  </si>
  <si>
    <t>West</t>
  </si>
  <si>
    <t>Ibadan</t>
  </si>
  <si>
    <t>Finance</t>
  </si>
  <si>
    <t>Keyboard</t>
  </si>
  <si>
    <t>Bank Transfer</t>
  </si>
  <si>
    <t>Cancelled</t>
  </si>
  <si>
    <t>ORD-0003</t>
  </si>
  <si>
    <t>Favour Ibrahim</t>
  </si>
  <si>
    <t>South</t>
  </si>
  <si>
    <t>Port Harcourt</t>
  </si>
  <si>
    <t>IT</t>
  </si>
  <si>
    <t>Monitor</t>
  </si>
  <si>
    <t>Computers</t>
  </si>
  <si>
    <t>Completed</t>
  </si>
  <si>
    <t>ORD-0004</t>
  </si>
  <si>
    <t xml:space="preserve">  Victor Obi  </t>
  </si>
  <si>
    <t>Kano</t>
  </si>
  <si>
    <t>Marketing</t>
  </si>
  <si>
    <t>Phone</t>
  </si>
  <si>
    <t>Mobile</t>
  </si>
  <si>
    <t>Cash</t>
  </si>
  <si>
    <t>ORD-0005</t>
  </si>
  <si>
    <t>Chiamaka Gabriel</t>
  </si>
  <si>
    <t>East</t>
  </si>
  <si>
    <t>Enugu</t>
  </si>
  <si>
    <t>ORD-0006</t>
  </si>
  <si>
    <t>Ada Ezeh</t>
  </si>
  <si>
    <t>Calabar</t>
  </si>
  <si>
    <t>Laptop</t>
  </si>
  <si>
    <t>ORD-0007</t>
  </si>
  <si>
    <t>Blessing Ojo</t>
  </si>
  <si>
    <t>ORD-0008</t>
  </si>
  <si>
    <t>Blessing Musa</t>
  </si>
  <si>
    <t>Sales</t>
  </si>
  <si>
    <t>ORD-0009</t>
  </si>
  <si>
    <t>Mary Williams</t>
  </si>
  <si>
    <t>ORD-0010</t>
  </si>
  <si>
    <t>Victor Obi</t>
  </si>
  <si>
    <t>Kaduna</t>
  </si>
  <si>
    <t>USSD</t>
  </si>
  <si>
    <t>ORD-0011</t>
  </si>
  <si>
    <t>Lagos</t>
  </si>
  <si>
    <t>ORD-0012</t>
  </si>
  <si>
    <t>Operations</t>
  </si>
  <si>
    <t>ORD-0013</t>
  </si>
  <si>
    <t>Grace Peter</t>
  </si>
  <si>
    <t>Uyo</t>
  </si>
  <si>
    <t>Tablet</t>
  </si>
  <si>
    <t>ORD-0014</t>
  </si>
  <si>
    <t>Joy Ezeh</t>
  </si>
  <si>
    <t>ORD-0015</t>
  </si>
  <si>
    <t>David Johnson</t>
  </si>
  <si>
    <t>Warri</t>
  </si>
  <si>
    <t>Desktop</t>
  </si>
  <si>
    <t>ORD-0016</t>
  </si>
  <si>
    <t>ORD-0017</t>
  </si>
  <si>
    <t>ORD-0018</t>
  </si>
  <si>
    <t>Esther James</t>
  </si>
  <si>
    <t>Abakaliki</t>
  </si>
  <si>
    <t>ORD-0019</t>
  </si>
  <si>
    <t>ORD-0020</t>
  </si>
  <si>
    <t>Amaka Umeh</t>
  </si>
  <si>
    <t>Jos</t>
  </si>
  <si>
    <t>ORD-0021</t>
  </si>
  <si>
    <t>Peace Eze</t>
  </si>
  <si>
    <t>ORD-0022</t>
  </si>
  <si>
    <t>ORD-0023</t>
  </si>
  <si>
    <t>ORD-0024</t>
  </si>
  <si>
    <t>ORD-0025</t>
  </si>
  <si>
    <t>ORD-0026</t>
  </si>
  <si>
    <t>Kingsley Musa</t>
  </si>
  <si>
    <t>ORD-0027</t>
  </si>
  <si>
    <t>ORD-0028</t>
  </si>
  <si>
    <t>ORD-0029</t>
  </si>
  <si>
    <t>Samuel Adeyemi</t>
  </si>
  <si>
    <t>Benin City</t>
  </si>
  <si>
    <t>ORD-0030</t>
  </si>
  <si>
    <t>Mouse</t>
  </si>
  <si>
    <t>ORD-0031</t>
  </si>
  <si>
    <t>Owerri</t>
  </si>
  <si>
    <t>ORD-0032</t>
  </si>
  <si>
    <t>Daniel Okafor</t>
  </si>
  <si>
    <t>ORD-0033</t>
  </si>
  <si>
    <t>Michael Obi</t>
  </si>
  <si>
    <t>ORD-0034</t>
  </si>
  <si>
    <t>ORD-0035</t>
  </si>
  <si>
    <t>ORD-0036</t>
  </si>
  <si>
    <t>ORD-0037</t>
  </si>
  <si>
    <t>Abeokuta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</si>
  <si>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</si>
  <si>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</si>
  <si>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</si>
  <si>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</si>
  <si>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</si>
  <si>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</si>
  <si>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</si>
  <si>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</si>
  <si>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</si>
  <si>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</si>
  <si>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Emeka Nwosu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</si>
  <si>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</si>
  <si>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</si>
  <si>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</si>
  <si>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</si>
  <si>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</si>
  <si>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</si>
  <si>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</si>
  <si>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</si>
  <si>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</si>
  <si>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</si>
  <si>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</si>
  <si>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</si>
  <si>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</si>
  <si>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</si>
  <si>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</si>
  <si>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</si>
  <si>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</si>
  <si>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</si>
  <si>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</si>
  <si>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</si>
  <si>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</si>
  <si>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</si>
  <si>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</si>
  <si>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</si>
  <si>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</si>
  <si>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</si>
  <si>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</si>
  <si>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</si>
  <si>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</si>
  <si>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</si>
  <si>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</si>
  <si>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</si>
  <si>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</si>
  <si>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</si>
  <si>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</si>
  <si>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</si>
  <si>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</si>
  <si>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</si>
  <si>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</si>
  <si>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</si>
  <si>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Onitsha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</si>
  <si>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</si>
  <si>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</si>
  <si>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</si>
  <si>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</si>
  <si>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</si>
  <si>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</si>
  <si>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</si>
  <si>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</si>
  <si>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</si>
  <si>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</si>
  <si>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</si>
  <si>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</si>
  <si>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</si>
  <si>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</si>
  <si>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</si>
  <si>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</si>
  <si>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</si>
  <si>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</si>
  <si>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</si>
  <si>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</si>
  <si>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</si>
  <si>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</si>
  <si>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</si>
  <si>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</si>
  <si>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</si>
  <si>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</si>
  <si>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</si>
  <si>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</si>
  <si>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</si>
  <si>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</si>
  <si>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</si>
  <si>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</si>
  <si>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</si>
  <si>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</si>
  <si>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</si>
  <si>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</si>
  <si>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</si>
  <si>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</si>
  <si>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</si>
  <si>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</si>
  <si>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</si>
  <si>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</si>
  <si>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</si>
  <si>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</si>
  <si>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</si>
  <si>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</si>
  <si>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</si>
  <si>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</si>
  <si>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</si>
  <si>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</si>
  <si>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</si>
  <si>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</si>
  <si>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</si>
  <si>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</si>
  <si>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</si>
  <si>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</si>
  <si>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</si>
  <si>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</si>
  <si>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</si>
  <si>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</si>
  <si>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</si>
  <si>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</si>
  <si>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</si>
  <si>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</si>
  <si>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</si>
  <si>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</si>
  <si>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</si>
  <si>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</si>
  <si>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</si>
  <si>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</si>
  <si>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</si>
  <si>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</si>
  <si>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</si>
  <si>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</si>
  <si>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</si>
  <si>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</si>
  <si>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</si>
  <si>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</si>
  <si>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</si>
  <si>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</si>
  <si>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</si>
  <si>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</si>
  <si>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</si>
  <si>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</si>
  <si>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</si>
  <si>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</si>
  <si>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</si>
  <si>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</si>
  <si>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</si>
  <si>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</si>
  <si>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</si>
  <si>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</si>
  <si>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</si>
  <si>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</si>
  <si>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</si>
  <si>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</si>
  <si>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</si>
  <si>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</si>
  <si>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</si>
  <si>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</si>
  <si>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</si>
  <si>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</si>
  <si>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</si>
  <si>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</si>
  <si>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</si>
  <si>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</si>
  <si>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</si>
  <si>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</si>
  <si>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</si>
  <si>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</si>
  <si>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</si>
  <si>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</si>
  <si>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</si>
  <si>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</si>
  <si>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</si>
  <si>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</si>
  <si>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</si>
  <si>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</si>
  <si>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</si>
  <si>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</si>
  <si>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</si>
  <si>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</si>
  <si>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</si>
  <si>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</si>
  <si>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</si>
  <si>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</si>
  <si>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</si>
  <si>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</si>
  <si>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</si>
  <si>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</si>
  <si>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</si>
  <si>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</si>
  <si>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</si>
  <si>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</si>
  <si>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</si>
  <si>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</si>
  <si>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</si>
  <si>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</si>
  <si>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</si>
  <si>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</si>
  <si>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</si>
  <si>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</si>
  <si>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</si>
  <si>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</si>
  <si>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</si>
  <si>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</si>
  <si>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</si>
  <si>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</si>
  <si>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</si>
  <si>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</si>
  <si>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</si>
  <si>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</si>
  <si>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</si>
  <si>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</si>
  <si>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</si>
  <si>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</si>
  <si>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</si>
  <si>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</si>
  <si>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</si>
  <si>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</si>
  <si>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</si>
  <si>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</si>
  <si>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</si>
  <si>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</si>
  <si>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</si>
  <si>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</si>
  <si>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</si>
  <si>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</si>
  <si>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</si>
  <si>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</si>
  <si>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</si>
  <si>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</si>
  <si>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</si>
  <si>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</si>
  <si>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</si>
  <si>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</si>
  <si>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</si>
  <si>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</si>
  <si>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</si>
  <si>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</si>
  <si>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</si>
  <si>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</si>
  <si>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</si>
  <si>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</si>
  <si>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</si>
  <si>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</si>
  <si>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</si>
  <si>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</si>
  <si>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</si>
  <si>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</si>
  <si>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</si>
  <si>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</si>
  <si>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</si>
  <si>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</si>
  <si>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</si>
  <si>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</si>
  <si>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</si>
  <si>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</si>
  <si>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</si>
  <si>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</si>
  <si>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</si>
  <si>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</si>
  <si>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</si>
  <si>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</si>
  <si>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</si>
  <si>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</si>
  <si>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</si>
  <si>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</si>
  <si>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</si>
  <si>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</si>
  <si>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</si>
  <si>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</si>
  <si>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</si>
  <si>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East Completed</t>
  </si>
  <si>
    <t>Large Completed</t>
  </si>
  <si>
    <t>Digital Order</t>
  </si>
  <si>
    <t>Priority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</si>
</sst>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topLeftCell="G1" workbookViewId="0">
      <pane ySplit="1" topLeftCell="A2" activePane="bottomLeft" state="frozen"/>
      <selection pane="bottomLeft" activeCell="P2" sqref="P2"/>
    </sheetView>
  </sheetViews>
  <sheetFormatPr defaultRowHeight="14.5" x14ac:dyDescent="0.35"/>
  <cols>
    <col min="1" max="1" width="12" customWidth="1"/>
    <col min="2" max="2" width="14" customWidth="1"/>
    <col min="3" max="3" width="22" customWidth="1"/>
    <col min="4" max="4" width="12" customWidth="1"/>
    <col min="5" max="5" width="18" customWidth="1"/>
    <col min="6" max="6" width="14" customWidth="1"/>
    <col min="7" max="8" width="16" customWidth="1"/>
    <col min="9" max="9" width="10" customWidth="1"/>
    <col min="10" max="10" width="14" customWidth="1"/>
    <col min="11" max="11" width="12" customWidth="1"/>
    <col min="12" max="12" width="14" customWidth="1"/>
    <col min="13" max="13" width="18" customWidth="1"/>
    <col min="14" max="14" width="14" customWidth="1"/>
    <col min="15" max="15" width="13.7265625" customWidth="1"/>
    <col min="16" max="16" width="14.54296875" customWidth="1"/>
    <col min="17" max="17" width="11.08984375" customWidth="1"/>
    <col min="18" max="18" width="12.3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379</v>
      </c>
      <c r="P1" s="5" t="s">
        <v>380</v>
      </c>
      <c r="Q1" s="5" t="s">
        <v>381</v>
      </c>
      <c r="R1" s="5" t="s">
        <v>382</v>
      </c>
    </row>
    <row r="2" spans="1:18" x14ac:dyDescent="0.35">
      <c r="A2" t="s">
        <v>14</v>
      </c>
      <c r="B2" s="2">
        <v>46024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 s="3">
        <v>59131</v>
      </c>
      <c r="K2" s="4">
        <v>0.1</v>
      </c>
      <c r="L2" s="3">
        <v>32887.199999999997</v>
      </c>
      <c r="M2" t="s">
        <v>21</v>
      </c>
      <c r="N2" t="s">
        <v>22</v>
      </c>
      <c r="O2" t="str">
        <f>IF(AND(D2="East", N2="Completed"), "Yes", "No")</f>
        <v>No</v>
      </c>
      <c r="P2" t="str">
        <f>IF(AND(I2&gt;=10,N2="Completed"), "Yes", "No")</f>
        <v>No</v>
      </c>
      <c r="Q2" t="str">
        <f>IF(OR(M2="Cash", M2="USSD"), "Yes", "No")</f>
        <v>No</v>
      </c>
      <c r="R2" t="str">
        <f>IF(OR(AND(D2= "East", N2= "Completed"), M2= "Online"), "Priority", "Normal")</f>
        <v>Normal</v>
      </c>
    </row>
    <row r="3" spans="1:18" x14ac:dyDescent="0.35">
      <c r="A3" t="s">
        <v>23</v>
      </c>
      <c r="B3" s="2">
        <v>46086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20</v>
      </c>
      <c r="I3">
        <v>9</v>
      </c>
      <c r="J3" s="3">
        <v>28431</v>
      </c>
      <c r="K3" s="4">
        <v>0.1</v>
      </c>
      <c r="L3" s="3">
        <v>18899.18</v>
      </c>
      <c r="M3" t="s">
        <v>29</v>
      </c>
      <c r="N3" t="s">
        <v>30</v>
      </c>
      <c r="O3" t="str">
        <f t="shared" ref="O3:O66" si="0">IF(AND(D3="East", N3="Completed"), "Yes", "No")</f>
        <v>No</v>
      </c>
      <c r="P3" t="str">
        <f t="shared" ref="P3:P66" si="1">IF(AND(I3&gt;=10,N3="Completed"), "Yes", "No")</f>
        <v>No</v>
      </c>
      <c r="Q3" t="str">
        <f t="shared" ref="Q3:Q66" si="2">IF(OR(M3="Cash", M3="USSD"), "Yes", "No")</f>
        <v>No</v>
      </c>
      <c r="R3" t="str">
        <f t="shared" ref="R3:R66" si="3">IF(OR(AND(D3= "East", N3= "Completed"), M3= "Online"), "Priority", "Normal")</f>
        <v>Normal</v>
      </c>
    </row>
    <row r="4" spans="1:18" x14ac:dyDescent="0.35">
      <c r="A4" t="s">
        <v>31</v>
      </c>
      <c r="B4" s="2">
        <v>46186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2</v>
      </c>
      <c r="J4" s="3">
        <v>128148</v>
      </c>
      <c r="K4" s="4">
        <v>0.1</v>
      </c>
      <c r="L4" s="3">
        <v>105439.67999999999</v>
      </c>
      <c r="M4" t="s">
        <v>21</v>
      </c>
      <c r="N4" t="s">
        <v>38</v>
      </c>
      <c r="O4" t="str">
        <f t="shared" si="0"/>
        <v>No</v>
      </c>
      <c r="P4" t="str">
        <f t="shared" si="1"/>
        <v>No</v>
      </c>
      <c r="Q4" t="str">
        <f t="shared" si="2"/>
        <v>No</v>
      </c>
      <c r="R4" t="str">
        <f t="shared" si="3"/>
        <v>Normal</v>
      </c>
    </row>
    <row r="5" spans="1:18" x14ac:dyDescent="0.35">
      <c r="A5" t="s">
        <v>39</v>
      </c>
      <c r="B5" s="2">
        <v>46104</v>
      </c>
      <c r="C5" t="s">
        <v>40</v>
      </c>
      <c r="D5" t="s">
        <v>16</v>
      </c>
      <c r="E5" t="s">
        <v>41</v>
      </c>
      <c r="F5" t="s">
        <v>42</v>
      </c>
      <c r="G5" t="s">
        <v>43</v>
      </c>
      <c r="H5" t="s">
        <v>44</v>
      </c>
      <c r="I5">
        <v>2</v>
      </c>
      <c r="J5" s="3">
        <v>313165</v>
      </c>
      <c r="K5" s="4">
        <v>0.2</v>
      </c>
      <c r="L5" s="3">
        <v>208756.79</v>
      </c>
      <c r="M5" t="s">
        <v>45</v>
      </c>
      <c r="N5" t="s">
        <v>22</v>
      </c>
      <c r="O5" t="str">
        <f t="shared" si="0"/>
        <v>No</v>
      </c>
      <c r="P5" t="str">
        <f t="shared" si="1"/>
        <v>No</v>
      </c>
      <c r="Q5" t="str">
        <f t="shared" si="2"/>
        <v>Yes</v>
      </c>
      <c r="R5" t="str">
        <f t="shared" si="3"/>
        <v>Normal</v>
      </c>
    </row>
    <row r="6" spans="1:18" x14ac:dyDescent="0.35">
      <c r="A6" t="s">
        <v>46</v>
      </c>
      <c r="B6" s="2">
        <v>46185</v>
      </c>
      <c r="C6" t="s">
        <v>47</v>
      </c>
      <c r="D6" t="s">
        <v>48</v>
      </c>
      <c r="E6" t="s">
        <v>49</v>
      </c>
      <c r="F6" t="s">
        <v>27</v>
      </c>
      <c r="G6" t="s">
        <v>28</v>
      </c>
      <c r="H6" t="s">
        <v>20</v>
      </c>
      <c r="I6">
        <v>1</v>
      </c>
      <c r="J6" s="3">
        <v>12027</v>
      </c>
      <c r="K6" s="4">
        <v>0.1</v>
      </c>
      <c r="L6" s="3">
        <v>9165.26</v>
      </c>
      <c r="M6" t="s">
        <v>45</v>
      </c>
      <c r="N6" t="s">
        <v>38</v>
      </c>
      <c r="O6" t="str">
        <f t="shared" si="0"/>
        <v>Yes</v>
      </c>
      <c r="P6" t="str">
        <f t="shared" si="1"/>
        <v>No</v>
      </c>
      <c r="Q6" t="str">
        <f t="shared" si="2"/>
        <v>Yes</v>
      </c>
      <c r="R6" t="str">
        <f t="shared" si="3"/>
        <v>Priority</v>
      </c>
    </row>
    <row r="7" spans="1:18" x14ac:dyDescent="0.35">
      <c r="A7" t="s">
        <v>50</v>
      </c>
      <c r="B7" s="2">
        <v>46249</v>
      </c>
      <c r="C7" t="s">
        <v>51</v>
      </c>
      <c r="D7" t="s">
        <v>33</v>
      </c>
      <c r="E7" t="s">
        <v>52</v>
      </c>
      <c r="F7" t="s">
        <v>18</v>
      </c>
      <c r="G7" t="s">
        <v>53</v>
      </c>
      <c r="H7" t="s">
        <v>37</v>
      </c>
      <c r="I7">
        <v>8</v>
      </c>
      <c r="J7" s="3">
        <v>625713</v>
      </c>
      <c r="K7" s="4">
        <v>0.1</v>
      </c>
      <c r="L7" s="3">
        <v>449495.34</v>
      </c>
      <c r="M7" t="s">
        <v>29</v>
      </c>
      <c r="N7" t="s">
        <v>38</v>
      </c>
      <c r="O7" t="str">
        <f t="shared" si="0"/>
        <v>No</v>
      </c>
      <c r="P7" t="str">
        <f t="shared" si="1"/>
        <v>No</v>
      </c>
      <c r="Q7" t="str">
        <f t="shared" si="2"/>
        <v>No</v>
      </c>
      <c r="R7" t="str">
        <f t="shared" si="3"/>
        <v>Normal</v>
      </c>
    </row>
    <row r="8" spans="1:18" x14ac:dyDescent="0.35">
      <c r="A8" t="s">
        <v>54</v>
      </c>
      <c r="B8" s="2">
        <v>46173</v>
      </c>
      <c r="C8" t="s">
        <v>55</v>
      </c>
      <c r="D8" t="s">
        <v>16</v>
      </c>
      <c r="E8" t="s">
        <v>41</v>
      </c>
      <c r="F8" t="s">
        <v>27</v>
      </c>
      <c r="G8" t="s">
        <v>19</v>
      </c>
      <c r="H8" t="s">
        <v>20</v>
      </c>
      <c r="I8">
        <v>9</v>
      </c>
      <c r="J8" s="3">
        <v>69268</v>
      </c>
      <c r="K8" s="4">
        <v>0.15</v>
      </c>
      <c r="L8" s="3">
        <v>56956.99</v>
      </c>
      <c r="M8" t="s">
        <v>45</v>
      </c>
      <c r="N8" t="s">
        <v>22</v>
      </c>
      <c r="O8" t="str">
        <f t="shared" si="0"/>
        <v>No</v>
      </c>
      <c r="P8" t="str">
        <f t="shared" si="1"/>
        <v>No</v>
      </c>
      <c r="Q8" t="str">
        <f t="shared" si="2"/>
        <v>Yes</v>
      </c>
      <c r="R8" t="str">
        <f t="shared" si="3"/>
        <v>Normal</v>
      </c>
    </row>
    <row r="9" spans="1:18" x14ac:dyDescent="0.35">
      <c r="A9" t="s">
        <v>56</v>
      </c>
      <c r="B9" s="2">
        <v>46114</v>
      </c>
      <c r="C9" t="s">
        <v>57</v>
      </c>
      <c r="D9" t="s">
        <v>16</v>
      </c>
      <c r="E9" t="s">
        <v>41</v>
      </c>
      <c r="F9" t="s">
        <v>58</v>
      </c>
      <c r="G9" t="s">
        <v>36</v>
      </c>
      <c r="H9" t="s">
        <v>37</v>
      </c>
      <c r="I9">
        <v>2</v>
      </c>
      <c r="J9" s="3">
        <v>169556</v>
      </c>
      <c r="K9" s="4">
        <v>0.1</v>
      </c>
      <c r="L9" s="3">
        <v>109754.19</v>
      </c>
      <c r="M9" t="s">
        <v>45</v>
      </c>
      <c r="N9" t="s">
        <v>38</v>
      </c>
      <c r="O9" t="str">
        <f t="shared" si="0"/>
        <v>No</v>
      </c>
      <c r="P9" t="str">
        <f t="shared" si="1"/>
        <v>No</v>
      </c>
      <c r="Q9" t="str">
        <f t="shared" si="2"/>
        <v>Yes</v>
      </c>
      <c r="R9" t="str">
        <f t="shared" si="3"/>
        <v>Normal</v>
      </c>
    </row>
    <row r="10" spans="1:18" x14ac:dyDescent="0.35">
      <c r="A10" t="s">
        <v>59</v>
      </c>
      <c r="B10" s="2">
        <v>46118</v>
      </c>
      <c r="C10" t="s">
        <v>60</v>
      </c>
      <c r="D10" t="s">
        <v>33</v>
      </c>
      <c r="E10" t="s">
        <v>34</v>
      </c>
      <c r="F10" t="s">
        <v>58</v>
      </c>
      <c r="G10" t="s">
        <v>53</v>
      </c>
      <c r="H10" t="s">
        <v>37</v>
      </c>
      <c r="I10">
        <v>3</v>
      </c>
      <c r="J10" s="3">
        <v>271959</v>
      </c>
      <c r="K10" s="4">
        <v>0.1</v>
      </c>
      <c r="L10" s="3">
        <v>175946.83</v>
      </c>
      <c r="M10" t="s">
        <v>21</v>
      </c>
      <c r="N10" t="s">
        <v>38</v>
      </c>
      <c r="O10" t="str">
        <f t="shared" si="0"/>
        <v>No</v>
      </c>
      <c r="P10" t="str">
        <f t="shared" si="1"/>
        <v>No</v>
      </c>
      <c r="Q10" t="str">
        <f t="shared" si="2"/>
        <v>No</v>
      </c>
      <c r="R10" t="str">
        <f t="shared" si="3"/>
        <v>Normal</v>
      </c>
    </row>
    <row r="11" spans="1:18" x14ac:dyDescent="0.35">
      <c r="A11" t="s">
        <v>61</v>
      </c>
      <c r="B11" s="2">
        <v>46045</v>
      </c>
      <c r="C11" t="s">
        <v>62</v>
      </c>
      <c r="D11" t="s">
        <v>16</v>
      </c>
      <c r="E11" t="s">
        <v>63</v>
      </c>
      <c r="F11" t="s">
        <v>27</v>
      </c>
      <c r="G11" t="s">
        <v>36</v>
      </c>
      <c r="H11" t="s">
        <v>37</v>
      </c>
      <c r="I11">
        <v>3</v>
      </c>
      <c r="J11" s="3">
        <v>210500</v>
      </c>
      <c r="K11" s="4">
        <v>0.2</v>
      </c>
      <c r="L11" s="3">
        <v>151200</v>
      </c>
      <c r="M11" t="s">
        <v>64</v>
      </c>
      <c r="N11" t="s">
        <v>38</v>
      </c>
      <c r="O11" t="str">
        <f t="shared" si="0"/>
        <v>No</v>
      </c>
      <c r="P11" t="str">
        <f t="shared" si="1"/>
        <v>No</v>
      </c>
      <c r="Q11" t="str">
        <f t="shared" si="2"/>
        <v>Yes</v>
      </c>
      <c r="R11" t="str">
        <f t="shared" si="3"/>
        <v>Normal</v>
      </c>
    </row>
    <row r="12" spans="1:18" x14ac:dyDescent="0.35">
      <c r="A12" t="s">
        <v>65</v>
      </c>
      <c r="B12" s="2">
        <v>46130</v>
      </c>
      <c r="C12" t="s">
        <v>32</v>
      </c>
      <c r="D12" t="s">
        <v>25</v>
      </c>
      <c r="E12" t="s">
        <v>66</v>
      </c>
      <c r="F12" t="s">
        <v>58</v>
      </c>
      <c r="G12" t="s">
        <v>19</v>
      </c>
      <c r="H12" t="s">
        <v>20</v>
      </c>
      <c r="I12">
        <v>9</v>
      </c>
      <c r="J12" s="3">
        <v>53900</v>
      </c>
      <c r="K12" s="4">
        <v>0.2</v>
      </c>
      <c r="L12" s="3">
        <v>51000</v>
      </c>
      <c r="M12" t="s">
        <v>29</v>
      </c>
      <c r="N12" t="s">
        <v>38</v>
      </c>
      <c r="O12" t="str">
        <f t="shared" si="0"/>
        <v>No</v>
      </c>
      <c r="P12" t="str">
        <f t="shared" si="1"/>
        <v>No</v>
      </c>
      <c r="Q12" t="str">
        <f t="shared" si="2"/>
        <v>No</v>
      </c>
      <c r="R12" t="str">
        <f t="shared" si="3"/>
        <v>Normal</v>
      </c>
    </row>
    <row r="13" spans="1:18" x14ac:dyDescent="0.35">
      <c r="A13" t="s">
        <v>67</v>
      </c>
      <c r="B13" s="2">
        <v>46049</v>
      </c>
      <c r="C13" t="s">
        <v>60</v>
      </c>
      <c r="D13" t="s">
        <v>16</v>
      </c>
      <c r="E13" t="s">
        <v>41</v>
      </c>
      <c r="F13" t="s">
        <v>68</v>
      </c>
      <c r="G13" t="s">
        <v>43</v>
      </c>
      <c r="H13" t="s">
        <v>44</v>
      </c>
      <c r="I13">
        <v>6</v>
      </c>
      <c r="J13" s="3">
        <v>275000</v>
      </c>
      <c r="K13" s="4">
        <v>0.1</v>
      </c>
      <c r="L13" s="3">
        <v>175400</v>
      </c>
      <c r="M13" t="s">
        <v>21</v>
      </c>
      <c r="N13" t="s">
        <v>38</v>
      </c>
      <c r="O13" t="str">
        <f t="shared" si="0"/>
        <v>No</v>
      </c>
      <c r="P13" t="str">
        <f t="shared" si="1"/>
        <v>No</v>
      </c>
      <c r="Q13" t="str">
        <f t="shared" si="2"/>
        <v>No</v>
      </c>
      <c r="R13" t="str">
        <f t="shared" si="3"/>
        <v>Normal</v>
      </c>
    </row>
    <row r="14" spans="1:18" x14ac:dyDescent="0.35">
      <c r="A14" t="s">
        <v>69</v>
      </c>
      <c r="B14" s="2">
        <v>46164</v>
      </c>
      <c r="C14" t="s">
        <v>70</v>
      </c>
      <c r="D14" t="s">
        <v>33</v>
      </c>
      <c r="E14" t="s">
        <v>71</v>
      </c>
      <c r="F14" t="s">
        <v>18</v>
      </c>
      <c r="G14" t="s">
        <v>72</v>
      </c>
      <c r="H14" t="s">
        <v>44</v>
      </c>
      <c r="I14">
        <v>9</v>
      </c>
      <c r="J14" s="3">
        <v>161200</v>
      </c>
      <c r="K14" s="4">
        <v>0.05</v>
      </c>
      <c r="L14" s="3">
        <v>329000</v>
      </c>
      <c r="M14" t="s">
        <v>45</v>
      </c>
      <c r="N14" t="s">
        <v>22</v>
      </c>
      <c r="O14" t="str">
        <f t="shared" si="0"/>
        <v>No</v>
      </c>
      <c r="P14" t="str">
        <f t="shared" si="1"/>
        <v>No</v>
      </c>
      <c r="Q14" t="str">
        <f t="shared" si="2"/>
        <v>Yes</v>
      </c>
      <c r="R14" t="str">
        <f t="shared" si="3"/>
        <v>Normal</v>
      </c>
    </row>
    <row r="15" spans="1:18" x14ac:dyDescent="0.35">
      <c r="A15" t="s">
        <v>73</v>
      </c>
      <c r="B15" s="2">
        <v>46241</v>
      </c>
      <c r="C15" t="s">
        <v>74</v>
      </c>
      <c r="D15" t="s">
        <v>33</v>
      </c>
      <c r="E15" t="s">
        <v>52</v>
      </c>
      <c r="F15" t="s">
        <v>68</v>
      </c>
      <c r="G15" t="s">
        <v>28</v>
      </c>
      <c r="H15" t="s">
        <v>20</v>
      </c>
      <c r="I15">
        <v>1</v>
      </c>
      <c r="J15" s="3">
        <v>33100</v>
      </c>
      <c r="K15" s="4">
        <v>0.05</v>
      </c>
      <c r="L15" s="3">
        <v>24700</v>
      </c>
      <c r="M15" t="s">
        <v>29</v>
      </c>
      <c r="N15" t="s">
        <v>22</v>
      </c>
      <c r="O15" t="str">
        <f t="shared" si="0"/>
        <v>No</v>
      </c>
      <c r="P15" t="str">
        <f t="shared" si="1"/>
        <v>No</v>
      </c>
      <c r="Q15" t="str">
        <f t="shared" si="2"/>
        <v>No</v>
      </c>
      <c r="R15" t="str">
        <f t="shared" si="3"/>
        <v>Normal</v>
      </c>
    </row>
    <row r="16" spans="1:18" x14ac:dyDescent="0.35">
      <c r="A16" t="s">
        <v>75</v>
      </c>
      <c r="B16" s="2">
        <v>46202</v>
      </c>
      <c r="C16" t="s">
        <v>76</v>
      </c>
      <c r="D16" t="s">
        <v>33</v>
      </c>
      <c r="E16" t="s">
        <v>77</v>
      </c>
      <c r="F16" t="s">
        <v>68</v>
      </c>
      <c r="G16" t="s">
        <v>78</v>
      </c>
      <c r="H16" t="s">
        <v>37</v>
      </c>
      <c r="I16">
        <v>3</v>
      </c>
      <c r="J16" s="3">
        <v>448100</v>
      </c>
      <c r="K16" s="4">
        <v>0.1</v>
      </c>
      <c r="L16" s="3">
        <v>289100</v>
      </c>
      <c r="M16" t="s">
        <v>21</v>
      </c>
      <c r="N16" t="s">
        <v>38</v>
      </c>
      <c r="O16" t="str">
        <f t="shared" si="0"/>
        <v>No</v>
      </c>
      <c r="P16" t="str">
        <f t="shared" si="1"/>
        <v>No</v>
      </c>
      <c r="Q16" t="str">
        <f t="shared" si="2"/>
        <v>No</v>
      </c>
      <c r="R16" t="str">
        <f t="shared" si="3"/>
        <v>Normal</v>
      </c>
    </row>
    <row r="17" spans="1:18" x14ac:dyDescent="0.35">
      <c r="A17" t="s">
        <v>79</v>
      </c>
      <c r="B17" s="2">
        <v>46079</v>
      </c>
      <c r="C17" t="s">
        <v>51</v>
      </c>
      <c r="D17" t="s">
        <v>25</v>
      </c>
      <c r="E17" t="s">
        <v>66</v>
      </c>
      <c r="F17" t="s">
        <v>42</v>
      </c>
      <c r="G17" t="s">
        <v>43</v>
      </c>
      <c r="H17" t="s">
        <v>44</v>
      </c>
      <c r="I17">
        <v>5</v>
      </c>
      <c r="J17" s="3">
        <v>595300</v>
      </c>
      <c r="K17" s="4">
        <v>0.2</v>
      </c>
      <c r="L17" s="3">
        <v>324000</v>
      </c>
      <c r="M17" t="s">
        <v>45</v>
      </c>
      <c r="N17" t="s">
        <v>22</v>
      </c>
      <c r="O17" t="str">
        <f t="shared" si="0"/>
        <v>No</v>
      </c>
      <c r="P17" t="str">
        <f t="shared" si="1"/>
        <v>No</v>
      </c>
      <c r="Q17" t="str">
        <f t="shared" si="2"/>
        <v>Yes</v>
      </c>
      <c r="R17" t="str">
        <f t="shared" si="3"/>
        <v>Normal</v>
      </c>
    </row>
    <row r="18" spans="1:18" x14ac:dyDescent="0.35">
      <c r="A18" t="s">
        <v>80</v>
      </c>
      <c r="B18" s="2">
        <v>46247</v>
      </c>
      <c r="C18" t="s">
        <v>24</v>
      </c>
      <c r="D18" t="s">
        <v>25</v>
      </c>
      <c r="E18" t="s">
        <v>26</v>
      </c>
      <c r="F18" t="s">
        <v>35</v>
      </c>
      <c r="G18" t="s">
        <v>43</v>
      </c>
      <c r="H18" t="s">
        <v>44</v>
      </c>
      <c r="I18">
        <v>5</v>
      </c>
      <c r="J18" s="3">
        <v>179800</v>
      </c>
      <c r="K18" s="4">
        <v>0.2</v>
      </c>
      <c r="L18" s="3">
        <v>419600</v>
      </c>
      <c r="M18" t="s">
        <v>45</v>
      </c>
      <c r="N18" t="s">
        <v>38</v>
      </c>
      <c r="O18" t="str">
        <f t="shared" si="0"/>
        <v>No</v>
      </c>
      <c r="P18" t="str">
        <f t="shared" si="1"/>
        <v>No</v>
      </c>
      <c r="Q18" t="str">
        <f t="shared" si="2"/>
        <v>Yes</v>
      </c>
      <c r="R18" t="str">
        <f t="shared" si="3"/>
        <v>Normal</v>
      </c>
    </row>
    <row r="19" spans="1:18" x14ac:dyDescent="0.35">
      <c r="A19" t="s">
        <v>81</v>
      </c>
      <c r="B19" s="2">
        <v>46214</v>
      </c>
      <c r="C19" t="s">
        <v>82</v>
      </c>
      <c r="D19" t="s">
        <v>48</v>
      </c>
      <c r="E19" t="s">
        <v>83</v>
      </c>
      <c r="F19" t="s">
        <v>27</v>
      </c>
      <c r="G19" t="s">
        <v>53</v>
      </c>
      <c r="H19" t="s">
        <v>37</v>
      </c>
      <c r="I19">
        <v>3</v>
      </c>
      <c r="J19" s="3">
        <v>461000</v>
      </c>
      <c r="K19" s="4">
        <v>0.1</v>
      </c>
      <c r="L19" s="3">
        <v>446500</v>
      </c>
      <c r="M19" t="s">
        <v>64</v>
      </c>
      <c r="N19" t="s">
        <v>22</v>
      </c>
      <c r="O19" t="str">
        <f t="shared" si="0"/>
        <v>No</v>
      </c>
      <c r="P19" t="str">
        <f t="shared" si="1"/>
        <v>No</v>
      </c>
      <c r="Q19" t="str">
        <f t="shared" si="2"/>
        <v>Yes</v>
      </c>
      <c r="R19" t="str">
        <f t="shared" si="3"/>
        <v>Normal</v>
      </c>
    </row>
    <row r="20" spans="1:18" x14ac:dyDescent="0.35">
      <c r="A20" t="s">
        <v>84</v>
      </c>
      <c r="B20" s="2">
        <v>46183</v>
      </c>
      <c r="C20" t="s">
        <v>76</v>
      </c>
      <c r="D20" t="s">
        <v>33</v>
      </c>
      <c r="E20" t="s">
        <v>52</v>
      </c>
      <c r="F20" t="s">
        <v>27</v>
      </c>
      <c r="G20" t="s">
        <v>72</v>
      </c>
      <c r="H20" t="s">
        <v>44</v>
      </c>
      <c r="I20">
        <v>2</v>
      </c>
      <c r="J20" s="3">
        <v>369400</v>
      </c>
      <c r="K20" s="4">
        <v>0.1</v>
      </c>
      <c r="L20" s="3">
        <v>312500</v>
      </c>
      <c r="M20" t="s">
        <v>29</v>
      </c>
      <c r="N20" t="s">
        <v>22</v>
      </c>
      <c r="O20" t="str">
        <f t="shared" si="0"/>
        <v>No</v>
      </c>
      <c r="P20" t="str">
        <f t="shared" si="1"/>
        <v>No</v>
      </c>
      <c r="Q20" t="str">
        <f t="shared" si="2"/>
        <v>No</v>
      </c>
      <c r="R20" t="str">
        <f t="shared" si="3"/>
        <v>Normal</v>
      </c>
    </row>
    <row r="21" spans="1:18" x14ac:dyDescent="0.35">
      <c r="A21" t="s">
        <v>85</v>
      </c>
      <c r="B21" s="2">
        <v>46197</v>
      </c>
      <c r="C21" t="s">
        <v>86</v>
      </c>
      <c r="D21" t="s">
        <v>16</v>
      </c>
      <c r="E21" t="s">
        <v>87</v>
      </c>
      <c r="F21" t="s">
        <v>42</v>
      </c>
      <c r="G21" t="s">
        <v>72</v>
      </c>
      <c r="H21" t="s">
        <v>44</v>
      </c>
      <c r="I21">
        <v>9</v>
      </c>
      <c r="J21" s="3">
        <v>203000</v>
      </c>
      <c r="K21" s="4">
        <v>0.05</v>
      </c>
      <c r="L21" s="3">
        <v>229400</v>
      </c>
      <c r="M21" t="s">
        <v>21</v>
      </c>
      <c r="N21" t="s">
        <v>38</v>
      </c>
      <c r="O21" t="str">
        <f t="shared" si="0"/>
        <v>No</v>
      </c>
      <c r="P21" t="str">
        <f t="shared" si="1"/>
        <v>No</v>
      </c>
      <c r="Q21" t="str">
        <f t="shared" si="2"/>
        <v>No</v>
      </c>
      <c r="R21" t="str">
        <f t="shared" si="3"/>
        <v>Normal</v>
      </c>
    </row>
    <row r="22" spans="1:18" x14ac:dyDescent="0.35">
      <c r="A22" t="s">
        <v>88</v>
      </c>
      <c r="B22" s="2">
        <v>46151</v>
      </c>
      <c r="C22" t="s">
        <v>89</v>
      </c>
      <c r="D22" t="s">
        <v>33</v>
      </c>
      <c r="E22" t="s">
        <v>71</v>
      </c>
      <c r="F22" t="s">
        <v>18</v>
      </c>
      <c r="G22" t="s">
        <v>53</v>
      </c>
      <c r="H22" t="s">
        <v>37</v>
      </c>
      <c r="I22">
        <v>7</v>
      </c>
      <c r="J22" s="3">
        <v>421200</v>
      </c>
      <c r="K22" s="4">
        <v>0.1</v>
      </c>
      <c r="L22" s="3">
        <v>251100</v>
      </c>
      <c r="M22" t="s">
        <v>29</v>
      </c>
      <c r="N22" t="s">
        <v>38</v>
      </c>
      <c r="O22" t="str">
        <f t="shared" si="0"/>
        <v>No</v>
      </c>
      <c r="P22" t="str">
        <f t="shared" si="1"/>
        <v>No</v>
      </c>
      <c r="Q22" t="str">
        <f t="shared" si="2"/>
        <v>No</v>
      </c>
      <c r="R22" t="str">
        <f t="shared" si="3"/>
        <v>Normal</v>
      </c>
    </row>
    <row r="23" spans="1:18" x14ac:dyDescent="0.35">
      <c r="A23" t="s">
        <v>90</v>
      </c>
      <c r="B23" s="2">
        <v>46258</v>
      </c>
      <c r="C23" t="s">
        <v>62</v>
      </c>
      <c r="D23" t="s">
        <v>33</v>
      </c>
      <c r="E23" t="s">
        <v>52</v>
      </c>
      <c r="F23" t="s">
        <v>27</v>
      </c>
      <c r="G23" t="s">
        <v>78</v>
      </c>
      <c r="H23" t="s">
        <v>37</v>
      </c>
      <c r="I23">
        <v>3</v>
      </c>
      <c r="J23" s="3">
        <v>515800</v>
      </c>
      <c r="K23" s="4">
        <v>0.2</v>
      </c>
      <c r="L23" s="3">
        <v>476900</v>
      </c>
      <c r="M23" t="s">
        <v>21</v>
      </c>
      <c r="N23" t="s">
        <v>38</v>
      </c>
      <c r="O23" t="str">
        <f t="shared" si="0"/>
        <v>No</v>
      </c>
      <c r="P23" t="str">
        <f t="shared" si="1"/>
        <v>No</v>
      </c>
      <c r="Q23" t="str">
        <f t="shared" si="2"/>
        <v>No</v>
      </c>
      <c r="R23" t="str">
        <f t="shared" si="3"/>
        <v>Normal</v>
      </c>
    </row>
    <row r="24" spans="1:18" x14ac:dyDescent="0.35">
      <c r="A24" t="s">
        <v>91</v>
      </c>
      <c r="B24" s="2">
        <v>46044</v>
      </c>
      <c r="C24" t="s">
        <v>82</v>
      </c>
      <c r="D24" t="s">
        <v>16</v>
      </c>
      <c r="E24" t="s">
        <v>17</v>
      </c>
      <c r="F24" t="s">
        <v>35</v>
      </c>
      <c r="G24" t="s">
        <v>53</v>
      </c>
      <c r="H24" t="s">
        <v>37</v>
      </c>
      <c r="I24">
        <v>4</v>
      </c>
      <c r="J24" s="3">
        <v>376100</v>
      </c>
      <c r="K24" s="4">
        <v>0.05</v>
      </c>
      <c r="L24" s="3">
        <v>557300</v>
      </c>
      <c r="M24" t="s">
        <v>64</v>
      </c>
      <c r="N24" t="s">
        <v>22</v>
      </c>
      <c r="O24" t="str">
        <f t="shared" si="0"/>
        <v>No</v>
      </c>
      <c r="P24" t="str">
        <f t="shared" si="1"/>
        <v>No</v>
      </c>
      <c r="Q24" t="str">
        <f t="shared" si="2"/>
        <v>Yes</v>
      </c>
      <c r="R24" t="str">
        <f t="shared" si="3"/>
        <v>Normal</v>
      </c>
    </row>
    <row r="25" spans="1:18" x14ac:dyDescent="0.35">
      <c r="A25" t="s">
        <v>92</v>
      </c>
      <c r="B25" s="2">
        <v>46131</v>
      </c>
      <c r="C25" t="s">
        <v>89</v>
      </c>
      <c r="D25" t="s">
        <v>25</v>
      </c>
      <c r="E25" t="s">
        <v>66</v>
      </c>
      <c r="F25" t="s">
        <v>68</v>
      </c>
      <c r="G25" t="s">
        <v>72</v>
      </c>
      <c r="H25" t="s">
        <v>44</v>
      </c>
      <c r="I25">
        <v>9</v>
      </c>
      <c r="J25" s="3">
        <v>174500</v>
      </c>
      <c r="K25" s="4">
        <v>0.2</v>
      </c>
      <c r="L25" s="3">
        <v>222500</v>
      </c>
      <c r="M25" t="s">
        <v>29</v>
      </c>
      <c r="N25" t="s">
        <v>30</v>
      </c>
      <c r="O25" t="str">
        <f t="shared" si="0"/>
        <v>No</v>
      </c>
      <c r="P25" t="str">
        <f t="shared" si="1"/>
        <v>No</v>
      </c>
      <c r="Q25" t="str">
        <f t="shared" si="2"/>
        <v>No</v>
      </c>
      <c r="R25" t="str">
        <f t="shared" si="3"/>
        <v>Normal</v>
      </c>
    </row>
    <row r="26" spans="1:18" x14ac:dyDescent="0.35">
      <c r="A26" t="s">
        <v>93</v>
      </c>
      <c r="B26" s="2">
        <v>46080</v>
      </c>
      <c r="C26" t="s">
        <v>55</v>
      </c>
      <c r="D26" t="s">
        <v>33</v>
      </c>
      <c r="E26" t="s">
        <v>77</v>
      </c>
      <c r="F26" t="s">
        <v>68</v>
      </c>
      <c r="G26" t="s">
        <v>78</v>
      </c>
      <c r="H26" t="s">
        <v>37</v>
      </c>
      <c r="I26">
        <v>8</v>
      </c>
      <c r="J26" s="3">
        <v>659800</v>
      </c>
      <c r="K26" s="4">
        <v>0.1</v>
      </c>
      <c r="L26" s="3">
        <v>369000</v>
      </c>
      <c r="M26" t="s">
        <v>21</v>
      </c>
      <c r="N26" t="s">
        <v>38</v>
      </c>
      <c r="O26" t="str">
        <f t="shared" si="0"/>
        <v>No</v>
      </c>
      <c r="P26" t="str">
        <f t="shared" si="1"/>
        <v>No</v>
      </c>
      <c r="Q26" t="str">
        <f t="shared" si="2"/>
        <v>No</v>
      </c>
      <c r="R26" t="str">
        <f t="shared" si="3"/>
        <v>Normal</v>
      </c>
    </row>
    <row r="27" spans="1:18" x14ac:dyDescent="0.35">
      <c r="A27" t="s">
        <v>94</v>
      </c>
      <c r="B27" s="2">
        <v>46041</v>
      </c>
      <c r="C27" t="s">
        <v>95</v>
      </c>
      <c r="D27" t="s">
        <v>25</v>
      </c>
      <c r="E27" t="s">
        <v>66</v>
      </c>
      <c r="F27" t="s">
        <v>18</v>
      </c>
      <c r="G27" t="s">
        <v>28</v>
      </c>
      <c r="H27" t="s">
        <v>20</v>
      </c>
      <c r="I27">
        <v>1</v>
      </c>
      <c r="J27" s="3">
        <v>18000</v>
      </c>
      <c r="K27" s="4">
        <v>0.1</v>
      </c>
      <c r="L27" s="3">
        <v>27800</v>
      </c>
      <c r="M27" t="s">
        <v>29</v>
      </c>
      <c r="N27" t="s">
        <v>38</v>
      </c>
      <c r="O27" t="str">
        <f t="shared" si="0"/>
        <v>No</v>
      </c>
      <c r="P27" t="str">
        <f t="shared" si="1"/>
        <v>No</v>
      </c>
      <c r="Q27" t="str">
        <f t="shared" si="2"/>
        <v>No</v>
      </c>
      <c r="R27" t="str">
        <f t="shared" si="3"/>
        <v>Normal</v>
      </c>
    </row>
    <row r="28" spans="1:18" x14ac:dyDescent="0.35">
      <c r="A28" t="s">
        <v>96</v>
      </c>
      <c r="B28" s="2">
        <v>46047</v>
      </c>
      <c r="C28" t="s">
        <v>82</v>
      </c>
      <c r="D28" t="s">
        <v>25</v>
      </c>
      <c r="E28" t="s">
        <v>66</v>
      </c>
      <c r="F28" t="s">
        <v>68</v>
      </c>
      <c r="G28" t="s">
        <v>72</v>
      </c>
      <c r="H28" t="s">
        <v>44</v>
      </c>
      <c r="I28">
        <v>4</v>
      </c>
      <c r="J28" s="3">
        <v>378900</v>
      </c>
      <c r="K28" s="4">
        <v>0.1</v>
      </c>
      <c r="L28" s="3">
        <v>298000</v>
      </c>
      <c r="M28" t="s">
        <v>21</v>
      </c>
      <c r="N28" t="s">
        <v>38</v>
      </c>
      <c r="O28" t="str">
        <f t="shared" si="0"/>
        <v>No</v>
      </c>
      <c r="P28" t="str">
        <f t="shared" si="1"/>
        <v>No</v>
      </c>
      <c r="Q28" t="str">
        <f t="shared" si="2"/>
        <v>No</v>
      </c>
      <c r="R28" t="str">
        <f t="shared" si="3"/>
        <v>Normal</v>
      </c>
    </row>
    <row r="29" spans="1:18" x14ac:dyDescent="0.35">
      <c r="A29" t="s">
        <v>97</v>
      </c>
      <c r="B29" s="2">
        <v>46086</v>
      </c>
      <c r="C29" t="s">
        <v>70</v>
      </c>
      <c r="D29" t="s">
        <v>48</v>
      </c>
      <c r="E29" t="s">
        <v>83</v>
      </c>
      <c r="F29" t="s">
        <v>42</v>
      </c>
      <c r="G29" t="s">
        <v>19</v>
      </c>
      <c r="H29" t="s">
        <v>20</v>
      </c>
      <c r="I29">
        <v>2</v>
      </c>
      <c r="J29" s="3">
        <v>47700</v>
      </c>
      <c r="K29" s="4">
        <v>0.05</v>
      </c>
      <c r="L29" s="3">
        <v>54100</v>
      </c>
      <c r="M29" t="s">
        <v>29</v>
      </c>
      <c r="N29" t="s">
        <v>38</v>
      </c>
      <c r="O29" t="str">
        <f t="shared" si="0"/>
        <v>Yes</v>
      </c>
      <c r="P29" t="str">
        <f t="shared" si="1"/>
        <v>No</v>
      </c>
      <c r="Q29" t="str">
        <f t="shared" si="2"/>
        <v>No</v>
      </c>
      <c r="R29" t="str">
        <f t="shared" si="3"/>
        <v>Priority</v>
      </c>
    </row>
    <row r="30" spans="1:18" x14ac:dyDescent="0.35">
      <c r="A30" t="s">
        <v>98</v>
      </c>
      <c r="B30" s="2">
        <v>46229</v>
      </c>
      <c r="C30" t="s">
        <v>99</v>
      </c>
      <c r="D30" t="s">
        <v>25</v>
      </c>
      <c r="E30" t="s">
        <v>100</v>
      </c>
      <c r="F30" t="s">
        <v>27</v>
      </c>
      <c r="G30" t="s">
        <v>53</v>
      </c>
      <c r="H30" t="s">
        <v>37</v>
      </c>
      <c r="I30">
        <v>8</v>
      </c>
      <c r="J30" s="3">
        <v>462400</v>
      </c>
      <c r="K30" s="4">
        <v>0.15</v>
      </c>
      <c r="L30" s="3">
        <v>573100</v>
      </c>
      <c r="M30" t="s">
        <v>21</v>
      </c>
      <c r="N30" t="s">
        <v>38</v>
      </c>
      <c r="O30" t="str">
        <f t="shared" si="0"/>
        <v>No</v>
      </c>
      <c r="P30" t="str">
        <f t="shared" si="1"/>
        <v>No</v>
      </c>
      <c r="Q30" t="str">
        <f t="shared" si="2"/>
        <v>No</v>
      </c>
      <c r="R30" t="str">
        <f t="shared" si="3"/>
        <v>Normal</v>
      </c>
    </row>
    <row r="31" spans="1:18" x14ac:dyDescent="0.35">
      <c r="A31" t="s">
        <v>101</v>
      </c>
      <c r="B31" s="2">
        <v>46254</v>
      </c>
      <c r="C31" t="s">
        <v>89</v>
      </c>
      <c r="D31" t="s">
        <v>16</v>
      </c>
      <c r="E31" t="s">
        <v>17</v>
      </c>
      <c r="F31" t="s">
        <v>27</v>
      </c>
      <c r="G31" t="s">
        <v>102</v>
      </c>
      <c r="H31" t="s">
        <v>20</v>
      </c>
      <c r="I31">
        <v>7</v>
      </c>
      <c r="J31" s="3">
        <v>15700</v>
      </c>
      <c r="K31" s="4">
        <v>0.15</v>
      </c>
      <c r="L31" s="3">
        <v>6800</v>
      </c>
      <c r="M31" t="s">
        <v>21</v>
      </c>
      <c r="N31" t="s">
        <v>38</v>
      </c>
      <c r="O31" t="str">
        <f t="shared" si="0"/>
        <v>No</v>
      </c>
      <c r="P31" t="str">
        <f t="shared" si="1"/>
        <v>No</v>
      </c>
      <c r="Q31" t="str">
        <f t="shared" si="2"/>
        <v>No</v>
      </c>
      <c r="R31" t="str">
        <f t="shared" si="3"/>
        <v>Normal</v>
      </c>
    </row>
    <row r="32" spans="1:18" x14ac:dyDescent="0.35">
      <c r="A32" t="s">
        <v>103</v>
      </c>
      <c r="B32" s="2">
        <v>46192</v>
      </c>
      <c r="C32" t="s">
        <v>15</v>
      </c>
      <c r="D32" t="s">
        <v>48</v>
      </c>
      <c r="E32" t="s">
        <v>104</v>
      </c>
      <c r="F32" t="s">
        <v>42</v>
      </c>
      <c r="G32" t="s">
        <v>53</v>
      </c>
      <c r="H32" t="s">
        <v>37</v>
      </c>
      <c r="I32">
        <v>7</v>
      </c>
      <c r="J32" s="3">
        <v>663500</v>
      </c>
      <c r="K32" s="4">
        <v>0.2</v>
      </c>
      <c r="L32" s="3">
        <v>505700</v>
      </c>
      <c r="M32" t="s">
        <v>64</v>
      </c>
      <c r="N32" t="s">
        <v>38</v>
      </c>
      <c r="O32" t="str">
        <f t="shared" si="0"/>
        <v>Yes</v>
      </c>
      <c r="P32" t="str">
        <f t="shared" si="1"/>
        <v>No</v>
      </c>
      <c r="Q32" t="str">
        <f t="shared" si="2"/>
        <v>Yes</v>
      </c>
      <c r="R32" t="str">
        <f t="shared" si="3"/>
        <v>Priority</v>
      </c>
    </row>
    <row r="33" spans="1:18" x14ac:dyDescent="0.35">
      <c r="A33" t="s">
        <v>105</v>
      </c>
      <c r="B33" s="2">
        <v>46258</v>
      </c>
      <c r="C33" t="s">
        <v>106</v>
      </c>
      <c r="D33" t="s">
        <v>25</v>
      </c>
      <c r="E33" t="s">
        <v>26</v>
      </c>
      <c r="F33" t="s">
        <v>58</v>
      </c>
      <c r="G33" t="s">
        <v>19</v>
      </c>
      <c r="H33" t="s">
        <v>20</v>
      </c>
      <c r="I33">
        <v>6</v>
      </c>
      <c r="J33" s="3">
        <v>47600</v>
      </c>
      <c r="K33" s="4">
        <v>0.2</v>
      </c>
      <c r="L33" s="3">
        <v>48400</v>
      </c>
      <c r="M33" t="s">
        <v>29</v>
      </c>
      <c r="N33" t="s">
        <v>38</v>
      </c>
      <c r="O33" t="str">
        <f t="shared" si="0"/>
        <v>No</v>
      </c>
      <c r="P33" t="str">
        <f t="shared" si="1"/>
        <v>No</v>
      </c>
      <c r="Q33" t="str">
        <f t="shared" si="2"/>
        <v>No</v>
      </c>
      <c r="R33" t="str">
        <f t="shared" si="3"/>
        <v>Normal</v>
      </c>
    </row>
    <row r="34" spans="1:18" x14ac:dyDescent="0.35">
      <c r="A34" t="s">
        <v>107</v>
      </c>
      <c r="B34" s="2">
        <v>46086</v>
      </c>
      <c r="C34" t="s">
        <v>108</v>
      </c>
      <c r="D34" t="s">
        <v>16</v>
      </c>
      <c r="E34" t="s">
        <v>41</v>
      </c>
      <c r="F34" t="s">
        <v>18</v>
      </c>
      <c r="G34" t="s">
        <v>28</v>
      </c>
      <c r="H34" t="s">
        <v>20</v>
      </c>
      <c r="I34">
        <v>4</v>
      </c>
      <c r="J34" s="3">
        <v>24100</v>
      </c>
      <c r="K34" s="4">
        <v>0.2</v>
      </c>
      <c r="L34" s="3">
        <v>28600</v>
      </c>
      <c r="M34" t="s">
        <v>21</v>
      </c>
      <c r="N34" t="s">
        <v>38</v>
      </c>
      <c r="O34" t="str">
        <f t="shared" si="0"/>
        <v>No</v>
      </c>
      <c r="P34" t="str">
        <f t="shared" si="1"/>
        <v>No</v>
      </c>
      <c r="Q34" t="str">
        <f t="shared" si="2"/>
        <v>No</v>
      </c>
      <c r="R34" t="str">
        <f t="shared" si="3"/>
        <v>Normal</v>
      </c>
    </row>
    <row r="35" spans="1:18" x14ac:dyDescent="0.35">
      <c r="A35" t="s">
        <v>109</v>
      </c>
      <c r="B35" s="2">
        <v>46140</v>
      </c>
      <c r="C35" t="s">
        <v>86</v>
      </c>
      <c r="D35" t="s">
        <v>33</v>
      </c>
      <c r="E35" t="s">
        <v>71</v>
      </c>
      <c r="F35" t="s">
        <v>27</v>
      </c>
      <c r="G35" t="s">
        <v>78</v>
      </c>
      <c r="H35" t="s">
        <v>37</v>
      </c>
      <c r="I35">
        <v>4</v>
      </c>
      <c r="J35" s="3">
        <v>406200</v>
      </c>
      <c r="K35" s="4">
        <v>0.1</v>
      </c>
      <c r="L35" s="3">
        <v>263200</v>
      </c>
      <c r="M35" t="s">
        <v>45</v>
      </c>
      <c r="N35" t="s">
        <v>30</v>
      </c>
      <c r="O35" t="str">
        <f t="shared" si="0"/>
        <v>No</v>
      </c>
      <c r="P35" t="str">
        <f t="shared" si="1"/>
        <v>No</v>
      </c>
      <c r="Q35" t="str">
        <f t="shared" si="2"/>
        <v>Yes</v>
      </c>
      <c r="R35" t="str">
        <f t="shared" si="3"/>
        <v>Normal</v>
      </c>
    </row>
    <row r="36" spans="1:18" x14ac:dyDescent="0.35">
      <c r="A36" t="s">
        <v>110</v>
      </c>
      <c r="B36" s="2">
        <v>46261</v>
      </c>
      <c r="C36" t="s">
        <v>32</v>
      </c>
      <c r="D36" t="s">
        <v>16</v>
      </c>
      <c r="E36" t="s">
        <v>87</v>
      </c>
      <c r="F36" t="s">
        <v>58</v>
      </c>
      <c r="G36" t="s">
        <v>28</v>
      </c>
      <c r="H36" t="s">
        <v>20</v>
      </c>
      <c r="I36">
        <v>2</v>
      </c>
      <c r="J36" s="3">
        <v>28800</v>
      </c>
      <c r="K36" s="4">
        <v>0.1</v>
      </c>
      <c r="L36" s="3">
        <v>18400</v>
      </c>
      <c r="M36" t="s">
        <v>45</v>
      </c>
      <c r="N36" t="s">
        <v>22</v>
      </c>
      <c r="O36" t="str">
        <f t="shared" si="0"/>
        <v>No</v>
      </c>
      <c r="P36" t="str">
        <f t="shared" si="1"/>
        <v>No</v>
      </c>
      <c r="Q36" t="str">
        <f t="shared" si="2"/>
        <v>Yes</v>
      </c>
      <c r="R36" t="str">
        <f t="shared" si="3"/>
        <v>Normal</v>
      </c>
    </row>
    <row r="37" spans="1:18" x14ac:dyDescent="0.35">
      <c r="A37" t="s">
        <v>111</v>
      </c>
      <c r="B37" s="2">
        <v>46025</v>
      </c>
      <c r="C37" t="s">
        <v>57</v>
      </c>
      <c r="D37" t="s">
        <v>33</v>
      </c>
      <c r="E37" t="s">
        <v>71</v>
      </c>
      <c r="F37" t="s">
        <v>27</v>
      </c>
      <c r="G37" t="s">
        <v>72</v>
      </c>
      <c r="H37" t="s">
        <v>44</v>
      </c>
      <c r="I37">
        <v>9</v>
      </c>
      <c r="J37" s="3">
        <v>352200</v>
      </c>
      <c r="K37" s="4">
        <v>0.2</v>
      </c>
      <c r="L37" s="3">
        <v>245200</v>
      </c>
      <c r="M37" t="s">
        <v>45</v>
      </c>
      <c r="N37" t="s">
        <v>30</v>
      </c>
      <c r="O37" t="str">
        <f t="shared" si="0"/>
        <v>No</v>
      </c>
      <c r="P37" t="str">
        <f t="shared" si="1"/>
        <v>No</v>
      </c>
      <c r="Q37" t="str">
        <f t="shared" si="2"/>
        <v>Yes</v>
      </c>
      <c r="R37" t="str">
        <f t="shared" si="3"/>
        <v>Normal</v>
      </c>
    </row>
    <row r="38" spans="1:18" x14ac:dyDescent="0.35">
      <c r="A38" t="s">
        <v>112</v>
      </c>
      <c r="B38" s="2">
        <v>46206</v>
      </c>
      <c r="C38" t="s">
        <v>62</v>
      </c>
      <c r="D38" t="s">
        <v>25</v>
      </c>
      <c r="E38" t="s">
        <v>113</v>
      </c>
      <c r="F38" t="s">
        <v>18</v>
      </c>
      <c r="G38" t="s">
        <v>28</v>
      </c>
      <c r="H38" t="s">
        <v>20</v>
      </c>
      <c r="I38">
        <v>9</v>
      </c>
      <c r="J38" s="3">
        <v>15400</v>
      </c>
      <c r="K38" s="4">
        <v>0.1</v>
      </c>
      <c r="L38" s="3">
        <v>13100</v>
      </c>
      <c r="M38" t="s">
        <v>45</v>
      </c>
      <c r="N38" t="s">
        <v>38</v>
      </c>
      <c r="O38" t="str">
        <f t="shared" si="0"/>
        <v>No</v>
      </c>
      <c r="P38" t="str">
        <f t="shared" si="1"/>
        <v>No</v>
      </c>
      <c r="Q38" t="str">
        <f t="shared" si="2"/>
        <v>Yes</v>
      </c>
      <c r="R38" t="str">
        <f t="shared" si="3"/>
        <v>Normal</v>
      </c>
    </row>
    <row r="39" spans="1:18" x14ac:dyDescent="0.35">
      <c r="A39" t="s">
        <v>114</v>
      </c>
      <c r="B39" s="2">
        <v>46220</v>
      </c>
      <c r="C39" t="s">
        <v>60</v>
      </c>
      <c r="D39" t="s">
        <v>48</v>
      </c>
      <c r="E39" t="s">
        <v>104</v>
      </c>
      <c r="F39" t="s">
        <v>18</v>
      </c>
      <c r="G39" t="s">
        <v>28</v>
      </c>
      <c r="H39" t="s">
        <v>20</v>
      </c>
      <c r="I39">
        <v>7</v>
      </c>
      <c r="J39" s="3">
        <v>39000</v>
      </c>
      <c r="K39" s="4">
        <v>0.1</v>
      </c>
      <c r="L39" s="3">
        <v>7500</v>
      </c>
      <c r="M39" t="s">
        <v>29</v>
      </c>
      <c r="N39" t="s">
        <v>38</v>
      </c>
      <c r="O39" t="str">
        <f t="shared" si="0"/>
        <v>Yes</v>
      </c>
      <c r="P39" t="str">
        <f t="shared" si="1"/>
        <v>No</v>
      </c>
      <c r="Q39" t="str">
        <f t="shared" si="2"/>
        <v>No</v>
      </c>
      <c r="R39" t="str">
        <f t="shared" si="3"/>
        <v>Priority</v>
      </c>
    </row>
    <row r="40" spans="1:18" x14ac:dyDescent="0.35">
      <c r="A40" t="s">
        <v>115</v>
      </c>
      <c r="B40" s="2">
        <v>46162</v>
      </c>
      <c r="C40" t="s">
        <v>60</v>
      </c>
      <c r="D40" t="s">
        <v>25</v>
      </c>
      <c r="E40" t="s">
        <v>100</v>
      </c>
      <c r="F40" t="s">
        <v>58</v>
      </c>
      <c r="G40" t="s">
        <v>43</v>
      </c>
      <c r="H40" t="s">
        <v>44</v>
      </c>
      <c r="I40">
        <v>9</v>
      </c>
      <c r="J40" s="3">
        <v>154400</v>
      </c>
      <c r="K40" s="4">
        <v>0.1</v>
      </c>
      <c r="L40" s="3">
        <v>126300</v>
      </c>
      <c r="M40" t="s">
        <v>21</v>
      </c>
      <c r="N40" t="s">
        <v>22</v>
      </c>
      <c r="O40" t="str">
        <f t="shared" si="0"/>
        <v>No</v>
      </c>
      <c r="P40" t="str">
        <f t="shared" si="1"/>
        <v>No</v>
      </c>
      <c r="Q40" t="str">
        <f t="shared" si="2"/>
        <v>No</v>
      </c>
      <c r="R40" t="str">
        <f t="shared" si="3"/>
        <v>Normal</v>
      </c>
    </row>
    <row r="41" spans="1:18" x14ac:dyDescent="0.35">
      <c r="A41" t="s">
        <v>116</v>
      </c>
      <c r="B41" s="2">
        <v>46253</v>
      </c>
      <c r="C41" t="s">
        <v>95</v>
      </c>
      <c r="D41" t="s">
        <v>25</v>
      </c>
      <c r="E41" t="s">
        <v>100</v>
      </c>
      <c r="F41" t="s">
        <v>27</v>
      </c>
      <c r="G41" t="s">
        <v>19</v>
      </c>
      <c r="H41" t="s">
        <v>20</v>
      </c>
      <c r="I41">
        <v>5</v>
      </c>
      <c r="J41" s="3">
        <v>61400</v>
      </c>
      <c r="K41" s="4">
        <v>0.05</v>
      </c>
      <c r="L41" s="3">
        <v>62300</v>
      </c>
      <c r="M41" t="s">
        <v>45</v>
      </c>
      <c r="N41" t="s">
        <v>38</v>
      </c>
      <c r="O41" t="str">
        <f t="shared" si="0"/>
        <v>No</v>
      </c>
      <c r="P41" t="str">
        <f t="shared" si="1"/>
        <v>No</v>
      </c>
      <c r="Q41" t="str">
        <f t="shared" si="2"/>
        <v>Yes</v>
      </c>
      <c r="R41" t="str">
        <f t="shared" si="3"/>
        <v>Normal</v>
      </c>
    </row>
    <row r="42" spans="1:18" x14ac:dyDescent="0.35">
      <c r="A42" t="s">
        <v>117</v>
      </c>
      <c r="B42" s="2">
        <v>46244</v>
      </c>
      <c r="C42" t="s">
        <v>57</v>
      </c>
      <c r="D42" t="s">
        <v>16</v>
      </c>
      <c r="E42" t="s">
        <v>63</v>
      </c>
      <c r="F42" t="s">
        <v>58</v>
      </c>
      <c r="G42" t="s">
        <v>43</v>
      </c>
      <c r="H42" t="s">
        <v>44</v>
      </c>
      <c r="I42">
        <v>10</v>
      </c>
      <c r="J42" s="3">
        <v>487300</v>
      </c>
      <c r="K42" s="4">
        <v>0.1</v>
      </c>
      <c r="L42" s="3">
        <v>424000</v>
      </c>
      <c r="M42" t="s">
        <v>29</v>
      </c>
      <c r="N42" t="s">
        <v>30</v>
      </c>
      <c r="O42" t="str">
        <f t="shared" si="0"/>
        <v>No</v>
      </c>
      <c r="P42" t="str">
        <f t="shared" si="1"/>
        <v>No</v>
      </c>
      <c r="Q42" t="str">
        <f t="shared" si="2"/>
        <v>No</v>
      </c>
      <c r="R42" t="str">
        <f t="shared" si="3"/>
        <v>Normal</v>
      </c>
    </row>
    <row r="43" spans="1:18" x14ac:dyDescent="0.35">
      <c r="A43" t="s">
        <v>118</v>
      </c>
      <c r="B43" s="2">
        <v>46091</v>
      </c>
      <c r="C43" t="s">
        <v>51</v>
      </c>
      <c r="D43" t="s">
        <v>48</v>
      </c>
      <c r="E43" t="s">
        <v>49</v>
      </c>
      <c r="F43" t="s">
        <v>27</v>
      </c>
      <c r="G43" t="s">
        <v>78</v>
      </c>
      <c r="H43" t="s">
        <v>37</v>
      </c>
      <c r="I43">
        <v>7</v>
      </c>
      <c r="J43" s="3">
        <v>620900</v>
      </c>
      <c r="K43" s="4">
        <v>0.1</v>
      </c>
      <c r="L43" s="3">
        <v>505100</v>
      </c>
      <c r="M43" t="s">
        <v>29</v>
      </c>
      <c r="N43" t="s">
        <v>22</v>
      </c>
      <c r="O43" t="str">
        <f t="shared" si="0"/>
        <v>No</v>
      </c>
      <c r="P43" t="str">
        <f t="shared" si="1"/>
        <v>No</v>
      </c>
      <c r="Q43" t="str">
        <f t="shared" si="2"/>
        <v>No</v>
      </c>
      <c r="R43" t="str">
        <f t="shared" si="3"/>
        <v>Normal</v>
      </c>
    </row>
    <row r="44" spans="1:18" x14ac:dyDescent="0.35">
      <c r="A44" t="s">
        <v>119</v>
      </c>
      <c r="B44" s="2">
        <v>46233</v>
      </c>
      <c r="C44" t="s">
        <v>62</v>
      </c>
      <c r="D44" t="s">
        <v>48</v>
      </c>
      <c r="E44" t="s">
        <v>49</v>
      </c>
      <c r="F44" t="s">
        <v>42</v>
      </c>
      <c r="G44" t="s">
        <v>36</v>
      </c>
      <c r="H44" t="s">
        <v>37</v>
      </c>
      <c r="I44">
        <v>4</v>
      </c>
      <c r="J44" s="3">
        <v>222500</v>
      </c>
      <c r="K44" s="4">
        <v>0.1</v>
      </c>
      <c r="L44" s="3">
        <v>125200</v>
      </c>
      <c r="M44" t="s">
        <v>29</v>
      </c>
      <c r="N44" t="s">
        <v>38</v>
      </c>
      <c r="O44" t="str">
        <f t="shared" si="0"/>
        <v>Yes</v>
      </c>
      <c r="P44" t="str">
        <f t="shared" si="1"/>
        <v>No</v>
      </c>
      <c r="Q44" t="str">
        <f t="shared" si="2"/>
        <v>No</v>
      </c>
      <c r="R44" t="str">
        <f t="shared" si="3"/>
        <v>Priority</v>
      </c>
    </row>
    <row r="45" spans="1:18" x14ac:dyDescent="0.35">
      <c r="A45" t="s">
        <v>120</v>
      </c>
      <c r="B45" s="2">
        <v>46107</v>
      </c>
      <c r="C45" t="s">
        <v>55</v>
      </c>
      <c r="D45" t="s">
        <v>48</v>
      </c>
      <c r="E45" t="s">
        <v>104</v>
      </c>
      <c r="F45" t="s">
        <v>35</v>
      </c>
      <c r="G45" t="s">
        <v>28</v>
      </c>
      <c r="H45" t="s">
        <v>20</v>
      </c>
      <c r="I45">
        <v>5</v>
      </c>
      <c r="J45" s="3">
        <v>22300</v>
      </c>
      <c r="K45" s="4">
        <v>0.2</v>
      </c>
      <c r="L45" s="3">
        <v>18500</v>
      </c>
      <c r="M45" t="s">
        <v>21</v>
      </c>
      <c r="N45" t="s">
        <v>38</v>
      </c>
      <c r="O45" t="str">
        <f t="shared" si="0"/>
        <v>Yes</v>
      </c>
      <c r="P45" t="str">
        <f t="shared" si="1"/>
        <v>No</v>
      </c>
      <c r="Q45" t="str">
        <f t="shared" si="2"/>
        <v>No</v>
      </c>
      <c r="R45" t="str">
        <f t="shared" si="3"/>
        <v>Priority</v>
      </c>
    </row>
    <row r="46" spans="1:18" x14ac:dyDescent="0.35">
      <c r="A46" t="s">
        <v>121</v>
      </c>
      <c r="B46" s="2">
        <v>46134</v>
      </c>
      <c r="C46" t="s">
        <v>60</v>
      </c>
      <c r="D46" t="s">
        <v>25</v>
      </c>
      <c r="E46" t="s">
        <v>113</v>
      </c>
      <c r="F46" t="s">
        <v>18</v>
      </c>
      <c r="G46" t="s">
        <v>28</v>
      </c>
      <c r="H46" t="s">
        <v>20</v>
      </c>
      <c r="I46">
        <v>10</v>
      </c>
      <c r="J46" s="3">
        <v>25200</v>
      </c>
      <c r="K46" s="4">
        <v>0.1</v>
      </c>
      <c r="L46" s="3">
        <v>23600</v>
      </c>
      <c r="M46" t="s">
        <v>21</v>
      </c>
      <c r="N46" t="s">
        <v>38</v>
      </c>
      <c r="O46" t="str">
        <f t="shared" si="0"/>
        <v>No</v>
      </c>
      <c r="P46" t="str">
        <f t="shared" si="1"/>
        <v>Yes</v>
      </c>
      <c r="Q46" t="str">
        <f t="shared" si="2"/>
        <v>No</v>
      </c>
      <c r="R46" t="str">
        <f t="shared" si="3"/>
        <v>Normal</v>
      </c>
    </row>
    <row r="47" spans="1:18" x14ac:dyDescent="0.35">
      <c r="A47" t="s">
        <v>122</v>
      </c>
      <c r="B47" s="2">
        <v>46116</v>
      </c>
      <c r="C47" t="s">
        <v>95</v>
      </c>
      <c r="D47" t="s">
        <v>25</v>
      </c>
      <c r="E47" t="s">
        <v>113</v>
      </c>
      <c r="F47" t="s">
        <v>18</v>
      </c>
      <c r="G47" t="s">
        <v>43</v>
      </c>
      <c r="H47" t="s">
        <v>44</v>
      </c>
      <c r="I47">
        <v>1</v>
      </c>
      <c r="J47" s="3">
        <v>384000</v>
      </c>
      <c r="K47" s="4">
        <v>0.1</v>
      </c>
      <c r="L47" s="3">
        <v>382300</v>
      </c>
      <c r="M47" t="s">
        <v>64</v>
      </c>
      <c r="N47" t="s">
        <v>38</v>
      </c>
      <c r="O47" t="str">
        <f t="shared" si="0"/>
        <v>No</v>
      </c>
      <c r="P47" t="str">
        <f t="shared" si="1"/>
        <v>No</v>
      </c>
      <c r="Q47" t="str">
        <f t="shared" si="2"/>
        <v>Yes</v>
      </c>
      <c r="R47" t="str">
        <f t="shared" si="3"/>
        <v>Normal</v>
      </c>
    </row>
    <row r="48" spans="1:18" x14ac:dyDescent="0.35">
      <c r="A48" t="s">
        <v>123</v>
      </c>
      <c r="B48" s="2">
        <v>46201</v>
      </c>
      <c r="C48" t="s">
        <v>124</v>
      </c>
      <c r="D48" t="s">
        <v>33</v>
      </c>
      <c r="E48" t="s">
        <v>34</v>
      </c>
      <c r="F48" t="s">
        <v>68</v>
      </c>
      <c r="G48" t="s">
        <v>53</v>
      </c>
      <c r="H48" t="s">
        <v>37</v>
      </c>
      <c r="I48">
        <v>9</v>
      </c>
      <c r="J48" s="3">
        <v>489200</v>
      </c>
      <c r="K48" s="4">
        <v>0.15</v>
      </c>
      <c r="L48" s="3">
        <v>392900</v>
      </c>
      <c r="M48" t="s">
        <v>45</v>
      </c>
      <c r="N48" t="s">
        <v>38</v>
      </c>
      <c r="O48" t="str">
        <f t="shared" si="0"/>
        <v>No</v>
      </c>
      <c r="P48" t="str">
        <f t="shared" si="1"/>
        <v>No</v>
      </c>
      <c r="Q48" t="str">
        <f t="shared" si="2"/>
        <v>Yes</v>
      </c>
      <c r="R48" t="str">
        <f t="shared" si="3"/>
        <v>Normal</v>
      </c>
    </row>
    <row r="49" spans="1:18" x14ac:dyDescent="0.35">
      <c r="A49" t="s">
        <v>125</v>
      </c>
      <c r="B49" s="2">
        <v>46100</v>
      </c>
      <c r="C49" t="s">
        <v>55</v>
      </c>
      <c r="D49" t="s">
        <v>48</v>
      </c>
      <c r="E49" t="s">
        <v>83</v>
      </c>
      <c r="F49" t="s">
        <v>68</v>
      </c>
      <c r="G49" t="s">
        <v>102</v>
      </c>
      <c r="H49" t="s">
        <v>20</v>
      </c>
      <c r="I49">
        <v>10</v>
      </c>
      <c r="J49" s="3">
        <v>17200</v>
      </c>
      <c r="K49" s="4">
        <v>0.05</v>
      </c>
      <c r="L49" s="3">
        <v>9300</v>
      </c>
      <c r="M49" t="s">
        <v>45</v>
      </c>
      <c r="N49" t="s">
        <v>38</v>
      </c>
      <c r="O49" t="str">
        <f t="shared" si="0"/>
        <v>Yes</v>
      </c>
      <c r="P49" t="str">
        <f t="shared" si="1"/>
        <v>Yes</v>
      </c>
      <c r="Q49" t="str">
        <f t="shared" si="2"/>
        <v>Yes</v>
      </c>
      <c r="R49" t="str">
        <f t="shared" si="3"/>
        <v>Priority</v>
      </c>
    </row>
    <row r="50" spans="1:18" x14ac:dyDescent="0.35">
      <c r="A50" t="s">
        <v>126</v>
      </c>
      <c r="B50" s="2">
        <v>46191</v>
      </c>
      <c r="C50" t="s">
        <v>95</v>
      </c>
      <c r="D50" t="s">
        <v>33</v>
      </c>
      <c r="E50" t="s">
        <v>77</v>
      </c>
      <c r="F50" t="s">
        <v>42</v>
      </c>
      <c r="G50" t="s">
        <v>72</v>
      </c>
      <c r="H50" t="s">
        <v>44</v>
      </c>
      <c r="I50">
        <v>4</v>
      </c>
      <c r="J50" s="3">
        <v>288700</v>
      </c>
      <c r="K50" s="4">
        <v>0.1</v>
      </c>
      <c r="L50" s="3">
        <v>294300</v>
      </c>
      <c r="M50" t="s">
        <v>21</v>
      </c>
      <c r="N50" t="s">
        <v>38</v>
      </c>
      <c r="O50" t="str">
        <f t="shared" si="0"/>
        <v>No</v>
      </c>
      <c r="P50" t="str">
        <f t="shared" si="1"/>
        <v>No</v>
      </c>
      <c r="Q50" t="str">
        <f t="shared" si="2"/>
        <v>No</v>
      </c>
      <c r="R50" t="str">
        <f t="shared" si="3"/>
        <v>Normal</v>
      </c>
    </row>
    <row r="51" spans="1:18" x14ac:dyDescent="0.35">
      <c r="A51" t="s">
        <v>127</v>
      </c>
      <c r="B51" s="2">
        <v>46085</v>
      </c>
      <c r="C51" t="s">
        <v>74</v>
      </c>
      <c r="D51" t="s">
        <v>33</v>
      </c>
      <c r="E51" t="s">
        <v>34</v>
      </c>
      <c r="F51" t="s">
        <v>27</v>
      </c>
      <c r="G51" t="s">
        <v>53</v>
      </c>
      <c r="H51" t="s">
        <v>37</v>
      </c>
      <c r="I51">
        <v>4</v>
      </c>
      <c r="J51" s="3">
        <v>713000</v>
      </c>
      <c r="K51" s="4">
        <v>0.05</v>
      </c>
      <c r="L51" s="3">
        <v>301600</v>
      </c>
      <c r="M51" t="s">
        <v>64</v>
      </c>
      <c r="N51" t="s">
        <v>38</v>
      </c>
      <c r="O51" t="str">
        <f t="shared" si="0"/>
        <v>No</v>
      </c>
      <c r="P51" t="str">
        <f t="shared" si="1"/>
        <v>No</v>
      </c>
      <c r="Q51" t="str">
        <f t="shared" si="2"/>
        <v>Yes</v>
      </c>
      <c r="R51" t="str">
        <f t="shared" si="3"/>
        <v>Normal</v>
      </c>
    </row>
    <row r="52" spans="1:18" x14ac:dyDescent="0.35">
      <c r="A52" t="s">
        <v>128</v>
      </c>
      <c r="B52" s="2">
        <v>46251</v>
      </c>
      <c r="C52" t="s">
        <v>32</v>
      </c>
      <c r="D52" t="s">
        <v>48</v>
      </c>
      <c r="E52" t="s">
        <v>83</v>
      </c>
      <c r="F52" t="s">
        <v>68</v>
      </c>
      <c r="G52" t="s">
        <v>36</v>
      </c>
      <c r="H52" t="s">
        <v>37</v>
      </c>
      <c r="I52">
        <v>7</v>
      </c>
      <c r="J52" s="3">
        <v>174200</v>
      </c>
      <c r="K52" s="4">
        <v>0.05</v>
      </c>
      <c r="L52" s="3">
        <v>99300</v>
      </c>
      <c r="M52" t="s">
        <v>21</v>
      </c>
      <c r="N52" t="s">
        <v>22</v>
      </c>
      <c r="O52" t="str">
        <f t="shared" si="0"/>
        <v>No</v>
      </c>
      <c r="P52" t="str">
        <f t="shared" si="1"/>
        <v>No</v>
      </c>
      <c r="Q52" t="str">
        <f t="shared" si="2"/>
        <v>No</v>
      </c>
      <c r="R52" t="str">
        <f t="shared" si="3"/>
        <v>Normal</v>
      </c>
    </row>
    <row r="53" spans="1:18" x14ac:dyDescent="0.35">
      <c r="A53" t="s">
        <v>129</v>
      </c>
      <c r="B53" s="2">
        <v>46166</v>
      </c>
      <c r="C53" t="s">
        <v>57</v>
      </c>
      <c r="D53" t="s">
        <v>25</v>
      </c>
      <c r="E53" t="s">
        <v>100</v>
      </c>
      <c r="F53" t="s">
        <v>18</v>
      </c>
      <c r="G53" t="s">
        <v>36</v>
      </c>
      <c r="H53" t="s">
        <v>37</v>
      </c>
      <c r="I53">
        <v>2</v>
      </c>
      <c r="J53" s="3">
        <v>168500</v>
      </c>
      <c r="K53" s="4">
        <v>0.2</v>
      </c>
      <c r="L53" s="3">
        <v>166200</v>
      </c>
      <c r="M53" t="s">
        <v>45</v>
      </c>
      <c r="N53" t="s">
        <v>30</v>
      </c>
      <c r="O53" t="str">
        <f t="shared" si="0"/>
        <v>No</v>
      </c>
      <c r="P53" t="str">
        <f t="shared" si="1"/>
        <v>No</v>
      </c>
      <c r="Q53" t="str">
        <f t="shared" si="2"/>
        <v>Yes</v>
      </c>
      <c r="R53" t="str">
        <f t="shared" si="3"/>
        <v>Normal</v>
      </c>
    </row>
    <row r="54" spans="1:18" x14ac:dyDescent="0.35">
      <c r="A54" t="s">
        <v>130</v>
      </c>
      <c r="B54" s="2">
        <v>46219</v>
      </c>
      <c r="C54" t="s">
        <v>99</v>
      </c>
      <c r="D54" t="s">
        <v>48</v>
      </c>
      <c r="E54" t="s">
        <v>83</v>
      </c>
      <c r="F54" t="s">
        <v>27</v>
      </c>
      <c r="G54" t="s">
        <v>72</v>
      </c>
      <c r="H54" t="s">
        <v>44</v>
      </c>
      <c r="I54">
        <v>8</v>
      </c>
      <c r="J54" s="3">
        <v>205500</v>
      </c>
      <c r="K54" s="4">
        <v>0.1</v>
      </c>
      <c r="L54" s="3">
        <v>146800</v>
      </c>
      <c r="M54" t="s">
        <v>64</v>
      </c>
      <c r="N54" t="s">
        <v>38</v>
      </c>
      <c r="O54" t="str">
        <f t="shared" si="0"/>
        <v>Yes</v>
      </c>
      <c r="P54" t="str">
        <f t="shared" si="1"/>
        <v>No</v>
      </c>
      <c r="Q54" t="str">
        <f t="shared" si="2"/>
        <v>Yes</v>
      </c>
      <c r="R54" t="str">
        <f t="shared" si="3"/>
        <v>Priority</v>
      </c>
    </row>
    <row r="55" spans="1:18" x14ac:dyDescent="0.35">
      <c r="A55" t="s">
        <v>131</v>
      </c>
      <c r="B55" s="2">
        <v>46043</v>
      </c>
      <c r="C55" t="s">
        <v>60</v>
      </c>
      <c r="D55" t="s">
        <v>48</v>
      </c>
      <c r="E55" t="s">
        <v>49</v>
      </c>
      <c r="F55" t="s">
        <v>68</v>
      </c>
      <c r="G55" t="s">
        <v>53</v>
      </c>
      <c r="H55" t="s">
        <v>37</v>
      </c>
      <c r="I55">
        <v>4</v>
      </c>
      <c r="J55" s="3">
        <v>472300</v>
      </c>
      <c r="K55" s="4">
        <v>0.2</v>
      </c>
      <c r="L55" s="3">
        <v>361900</v>
      </c>
      <c r="M55" t="s">
        <v>29</v>
      </c>
      <c r="N55" t="s">
        <v>38</v>
      </c>
      <c r="O55" t="str">
        <f t="shared" si="0"/>
        <v>Yes</v>
      </c>
      <c r="P55" t="str">
        <f t="shared" si="1"/>
        <v>No</v>
      </c>
      <c r="Q55" t="str">
        <f t="shared" si="2"/>
        <v>No</v>
      </c>
      <c r="R55" t="str">
        <f t="shared" si="3"/>
        <v>Priority</v>
      </c>
    </row>
    <row r="56" spans="1:18" x14ac:dyDescent="0.35">
      <c r="A56" t="s">
        <v>132</v>
      </c>
      <c r="B56" s="2">
        <v>46075</v>
      </c>
      <c r="C56" t="s">
        <v>76</v>
      </c>
      <c r="D56" t="s">
        <v>25</v>
      </c>
      <c r="E56" t="s">
        <v>66</v>
      </c>
      <c r="F56" t="s">
        <v>18</v>
      </c>
      <c r="G56" t="s">
        <v>43</v>
      </c>
      <c r="H56" t="s">
        <v>44</v>
      </c>
      <c r="I56">
        <v>7</v>
      </c>
      <c r="J56" s="3">
        <v>298900</v>
      </c>
      <c r="K56" s="4">
        <v>0.05</v>
      </c>
      <c r="L56" s="3">
        <v>263100</v>
      </c>
      <c r="M56" t="s">
        <v>64</v>
      </c>
      <c r="N56" t="s">
        <v>38</v>
      </c>
      <c r="O56" t="str">
        <f t="shared" si="0"/>
        <v>No</v>
      </c>
      <c r="P56" t="str">
        <f t="shared" si="1"/>
        <v>No</v>
      </c>
      <c r="Q56" t="str">
        <f t="shared" si="2"/>
        <v>Yes</v>
      </c>
      <c r="R56" t="str">
        <f t="shared" si="3"/>
        <v>Normal</v>
      </c>
    </row>
    <row r="57" spans="1:18" x14ac:dyDescent="0.35">
      <c r="A57" t="s">
        <v>133</v>
      </c>
      <c r="B57" s="2">
        <v>46160</v>
      </c>
      <c r="C57" t="s">
        <v>95</v>
      </c>
      <c r="D57" t="s">
        <v>16</v>
      </c>
      <c r="E57" t="s">
        <v>87</v>
      </c>
      <c r="F57" t="s">
        <v>42</v>
      </c>
      <c r="G57" t="s">
        <v>19</v>
      </c>
      <c r="H57" t="s">
        <v>20</v>
      </c>
      <c r="I57">
        <v>6</v>
      </c>
      <c r="J57" s="3">
        <v>58400</v>
      </c>
      <c r="K57" s="4">
        <v>0.15</v>
      </c>
      <c r="L57" s="3">
        <v>40600</v>
      </c>
      <c r="M57" t="s">
        <v>29</v>
      </c>
      <c r="N57" t="s">
        <v>38</v>
      </c>
      <c r="O57" t="str">
        <f t="shared" si="0"/>
        <v>No</v>
      </c>
      <c r="P57" t="str">
        <f t="shared" si="1"/>
        <v>No</v>
      </c>
      <c r="Q57" t="str">
        <f t="shared" si="2"/>
        <v>No</v>
      </c>
      <c r="R57" t="str">
        <f t="shared" si="3"/>
        <v>Normal</v>
      </c>
    </row>
    <row r="58" spans="1:18" x14ac:dyDescent="0.35">
      <c r="A58" t="s">
        <v>134</v>
      </c>
      <c r="B58" s="2">
        <v>46238</v>
      </c>
      <c r="C58" t="s">
        <v>60</v>
      </c>
      <c r="D58" t="s">
        <v>48</v>
      </c>
      <c r="E58" t="s">
        <v>83</v>
      </c>
      <c r="F58" t="s">
        <v>18</v>
      </c>
      <c r="G58" t="s">
        <v>43</v>
      </c>
      <c r="H58" t="s">
        <v>44</v>
      </c>
      <c r="I58">
        <v>6</v>
      </c>
      <c r="J58" s="3">
        <v>451000</v>
      </c>
      <c r="K58" s="4">
        <v>0.1</v>
      </c>
      <c r="L58" s="3">
        <v>379300</v>
      </c>
      <c r="M58" t="s">
        <v>64</v>
      </c>
      <c r="N58" t="s">
        <v>30</v>
      </c>
      <c r="O58" t="str">
        <f t="shared" si="0"/>
        <v>No</v>
      </c>
      <c r="P58" t="str">
        <f t="shared" si="1"/>
        <v>No</v>
      </c>
      <c r="Q58" t="str">
        <f t="shared" si="2"/>
        <v>Yes</v>
      </c>
      <c r="R58" t="str">
        <f t="shared" si="3"/>
        <v>Normal</v>
      </c>
    </row>
    <row r="59" spans="1:18" x14ac:dyDescent="0.35">
      <c r="A59" t="s">
        <v>135</v>
      </c>
      <c r="B59" s="2">
        <v>46069</v>
      </c>
      <c r="C59" t="s">
        <v>74</v>
      </c>
      <c r="D59" t="s">
        <v>16</v>
      </c>
      <c r="E59" t="s">
        <v>87</v>
      </c>
      <c r="F59" t="s">
        <v>58</v>
      </c>
      <c r="G59" t="s">
        <v>19</v>
      </c>
      <c r="H59" t="s">
        <v>20</v>
      </c>
      <c r="I59">
        <v>2</v>
      </c>
      <c r="J59" s="3">
        <v>73900</v>
      </c>
      <c r="K59" s="4">
        <v>0.15</v>
      </c>
      <c r="L59" s="3">
        <v>30400</v>
      </c>
      <c r="M59" t="s">
        <v>21</v>
      </c>
      <c r="N59" t="s">
        <v>38</v>
      </c>
      <c r="O59" t="str">
        <f t="shared" si="0"/>
        <v>No</v>
      </c>
      <c r="P59" t="str">
        <f t="shared" si="1"/>
        <v>No</v>
      </c>
      <c r="Q59" t="str">
        <f t="shared" si="2"/>
        <v>No</v>
      </c>
      <c r="R59" t="str">
        <f t="shared" si="3"/>
        <v>Normal</v>
      </c>
    </row>
    <row r="60" spans="1:18" x14ac:dyDescent="0.35">
      <c r="A60" t="s">
        <v>136</v>
      </c>
      <c r="B60" s="2">
        <v>46087</v>
      </c>
      <c r="C60" t="s">
        <v>124</v>
      </c>
      <c r="D60" t="s">
        <v>25</v>
      </c>
      <c r="E60" t="s">
        <v>100</v>
      </c>
      <c r="F60" t="s">
        <v>35</v>
      </c>
      <c r="G60" t="s">
        <v>78</v>
      </c>
      <c r="H60" t="s">
        <v>37</v>
      </c>
      <c r="I60">
        <v>7</v>
      </c>
      <c r="J60" s="3">
        <v>411300</v>
      </c>
      <c r="K60" s="4">
        <v>0.15</v>
      </c>
      <c r="L60" s="3">
        <v>533900</v>
      </c>
      <c r="M60" t="s">
        <v>21</v>
      </c>
      <c r="N60" t="s">
        <v>38</v>
      </c>
      <c r="O60" t="str">
        <f t="shared" si="0"/>
        <v>No</v>
      </c>
      <c r="P60" t="str">
        <f t="shared" si="1"/>
        <v>No</v>
      </c>
      <c r="Q60" t="str">
        <f t="shared" si="2"/>
        <v>No</v>
      </c>
      <c r="R60" t="str">
        <f t="shared" si="3"/>
        <v>Normal</v>
      </c>
    </row>
    <row r="61" spans="1:18" x14ac:dyDescent="0.35">
      <c r="A61" t="s">
        <v>137</v>
      </c>
      <c r="B61" s="2">
        <v>46237</v>
      </c>
      <c r="C61" t="s">
        <v>89</v>
      </c>
      <c r="D61" t="s">
        <v>16</v>
      </c>
      <c r="E61" t="s">
        <v>63</v>
      </c>
      <c r="F61" t="s">
        <v>27</v>
      </c>
      <c r="G61" t="s">
        <v>28</v>
      </c>
      <c r="H61" t="s">
        <v>20</v>
      </c>
      <c r="I61">
        <v>1</v>
      </c>
      <c r="J61" s="3">
        <v>36400</v>
      </c>
      <c r="K61" s="4">
        <v>0.1</v>
      </c>
      <c r="L61" s="3">
        <v>28800</v>
      </c>
      <c r="M61" t="s">
        <v>21</v>
      </c>
      <c r="N61" t="s">
        <v>38</v>
      </c>
      <c r="O61" t="str">
        <f t="shared" si="0"/>
        <v>No</v>
      </c>
      <c r="P61" t="str">
        <f t="shared" si="1"/>
        <v>No</v>
      </c>
      <c r="Q61" t="str">
        <f t="shared" si="2"/>
        <v>No</v>
      </c>
      <c r="R61" t="str">
        <f t="shared" si="3"/>
        <v>Normal</v>
      </c>
    </row>
    <row r="62" spans="1:18" x14ac:dyDescent="0.35">
      <c r="A62" t="s">
        <v>138</v>
      </c>
      <c r="B62" s="2">
        <v>46219</v>
      </c>
      <c r="C62" t="s">
        <v>57</v>
      </c>
      <c r="D62" t="s">
        <v>25</v>
      </c>
      <c r="E62" t="s">
        <v>100</v>
      </c>
      <c r="F62" t="s">
        <v>68</v>
      </c>
      <c r="G62" t="s">
        <v>28</v>
      </c>
      <c r="H62" t="s">
        <v>20</v>
      </c>
      <c r="I62">
        <v>10</v>
      </c>
      <c r="J62" s="3">
        <v>43200</v>
      </c>
      <c r="K62" s="4">
        <v>0.1</v>
      </c>
      <c r="L62" s="3">
        <v>17400</v>
      </c>
      <c r="M62" t="s">
        <v>45</v>
      </c>
      <c r="N62" t="s">
        <v>38</v>
      </c>
      <c r="O62" t="str">
        <f t="shared" si="0"/>
        <v>No</v>
      </c>
      <c r="P62" t="str">
        <f t="shared" si="1"/>
        <v>Yes</v>
      </c>
      <c r="Q62" t="str">
        <f t="shared" si="2"/>
        <v>Yes</v>
      </c>
      <c r="R62" t="str">
        <f t="shared" si="3"/>
        <v>Normal</v>
      </c>
    </row>
    <row r="63" spans="1:18" x14ac:dyDescent="0.35">
      <c r="A63" t="s">
        <v>139</v>
      </c>
      <c r="B63" s="2">
        <v>46124</v>
      </c>
      <c r="C63" t="s">
        <v>74</v>
      </c>
      <c r="D63" t="s">
        <v>16</v>
      </c>
      <c r="E63" t="s">
        <v>41</v>
      </c>
      <c r="F63" t="s">
        <v>35</v>
      </c>
      <c r="G63" t="s">
        <v>28</v>
      </c>
      <c r="H63" t="s">
        <v>20</v>
      </c>
      <c r="I63">
        <v>10</v>
      </c>
      <c r="J63" s="3">
        <v>10900</v>
      </c>
      <c r="K63" s="4">
        <v>0.15</v>
      </c>
      <c r="L63" s="3">
        <v>13800</v>
      </c>
      <c r="M63" t="s">
        <v>29</v>
      </c>
      <c r="N63" t="s">
        <v>38</v>
      </c>
      <c r="O63" t="str">
        <f t="shared" si="0"/>
        <v>No</v>
      </c>
      <c r="P63" t="str">
        <f t="shared" si="1"/>
        <v>Yes</v>
      </c>
      <c r="Q63" t="str">
        <f t="shared" si="2"/>
        <v>No</v>
      </c>
      <c r="R63" t="str">
        <f t="shared" si="3"/>
        <v>Normal</v>
      </c>
    </row>
    <row r="64" spans="1:18" x14ac:dyDescent="0.35">
      <c r="A64" t="s">
        <v>140</v>
      </c>
      <c r="B64" s="2">
        <v>46192</v>
      </c>
      <c r="C64" t="s">
        <v>57</v>
      </c>
      <c r="D64" t="s">
        <v>16</v>
      </c>
      <c r="E64" t="s">
        <v>63</v>
      </c>
      <c r="F64" t="s">
        <v>68</v>
      </c>
      <c r="G64" t="s">
        <v>28</v>
      </c>
      <c r="H64" t="s">
        <v>20</v>
      </c>
      <c r="I64">
        <v>10</v>
      </c>
      <c r="J64" s="3">
        <v>37400</v>
      </c>
      <c r="K64" s="4">
        <v>0.15</v>
      </c>
      <c r="L64" s="3">
        <v>14700</v>
      </c>
      <c r="M64" t="s">
        <v>45</v>
      </c>
      <c r="N64" t="s">
        <v>38</v>
      </c>
      <c r="O64" t="str">
        <f t="shared" si="0"/>
        <v>No</v>
      </c>
      <c r="P64" t="str">
        <f t="shared" si="1"/>
        <v>Yes</v>
      </c>
      <c r="Q64" t="str">
        <f t="shared" si="2"/>
        <v>Yes</v>
      </c>
      <c r="R64" t="str">
        <f t="shared" si="3"/>
        <v>Normal</v>
      </c>
    </row>
    <row r="65" spans="1:18" x14ac:dyDescent="0.35">
      <c r="A65" t="s">
        <v>141</v>
      </c>
      <c r="B65" s="2">
        <v>46204</v>
      </c>
      <c r="C65" t="s">
        <v>124</v>
      </c>
      <c r="D65" t="s">
        <v>16</v>
      </c>
      <c r="E65" t="s">
        <v>87</v>
      </c>
      <c r="F65" t="s">
        <v>42</v>
      </c>
      <c r="G65" t="s">
        <v>28</v>
      </c>
      <c r="H65" t="s">
        <v>20</v>
      </c>
      <c r="I65">
        <v>7</v>
      </c>
      <c r="J65" s="3">
        <v>43600</v>
      </c>
      <c r="K65" s="4">
        <v>0.15</v>
      </c>
      <c r="L65" s="3">
        <v>21400</v>
      </c>
      <c r="M65" t="s">
        <v>29</v>
      </c>
      <c r="N65" t="s">
        <v>38</v>
      </c>
      <c r="O65" t="str">
        <f t="shared" si="0"/>
        <v>No</v>
      </c>
      <c r="P65" t="str">
        <f t="shared" si="1"/>
        <v>No</v>
      </c>
      <c r="Q65" t="str">
        <f t="shared" si="2"/>
        <v>No</v>
      </c>
      <c r="R65" t="str">
        <f t="shared" si="3"/>
        <v>Normal</v>
      </c>
    </row>
    <row r="66" spans="1:18" x14ac:dyDescent="0.35">
      <c r="A66" t="s">
        <v>142</v>
      </c>
      <c r="B66" s="2">
        <v>46094</v>
      </c>
      <c r="C66" t="s">
        <v>108</v>
      </c>
      <c r="D66" t="s">
        <v>33</v>
      </c>
      <c r="E66" t="s">
        <v>77</v>
      </c>
      <c r="F66" t="s">
        <v>42</v>
      </c>
      <c r="G66" t="s">
        <v>43</v>
      </c>
      <c r="H66" t="s">
        <v>44</v>
      </c>
      <c r="I66">
        <v>10</v>
      </c>
      <c r="J66" s="3">
        <v>270800</v>
      </c>
      <c r="K66" s="4">
        <v>0.05</v>
      </c>
      <c r="L66" s="3">
        <v>398100</v>
      </c>
      <c r="M66" t="s">
        <v>64</v>
      </c>
      <c r="N66" t="s">
        <v>38</v>
      </c>
      <c r="O66" t="str">
        <f t="shared" si="0"/>
        <v>No</v>
      </c>
      <c r="P66" t="str">
        <f t="shared" si="1"/>
        <v>Yes</v>
      </c>
      <c r="Q66" t="str">
        <f t="shared" si="2"/>
        <v>Yes</v>
      </c>
      <c r="R66" t="str">
        <f t="shared" si="3"/>
        <v>Normal</v>
      </c>
    </row>
    <row r="67" spans="1:18" x14ac:dyDescent="0.35">
      <c r="A67" t="s">
        <v>143</v>
      </c>
      <c r="B67" s="2">
        <v>46110</v>
      </c>
      <c r="C67" t="s">
        <v>99</v>
      </c>
      <c r="D67" t="s">
        <v>48</v>
      </c>
      <c r="E67" t="s">
        <v>104</v>
      </c>
      <c r="F67" t="s">
        <v>18</v>
      </c>
      <c r="G67" t="s">
        <v>72</v>
      </c>
      <c r="H67" t="s">
        <v>44</v>
      </c>
      <c r="I67">
        <v>6</v>
      </c>
      <c r="J67" s="3">
        <v>180000</v>
      </c>
      <c r="K67" s="4">
        <v>0.1</v>
      </c>
      <c r="L67" s="3">
        <v>137300</v>
      </c>
      <c r="M67" t="s">
        <v>45</v>
      </c>
      <c r="N67" t="s">
        <v>22</v>
      </c>
      <c r="O67" t="str">
        <f t="shared" ref="O67:O130" si="4">IF(AND(D67="East", N67="Completed"), "Yes", "No")</f>
        <v>No</v>
      </c>
      <c r="P67" t="str">
        <f t="shared" ref="P67:P130" si="5">IF(AND(I67&gt;=10,N67="Completed"), "Yes", "No")</f>
        <v>No</v>
      </c>
      <c r="Q67" t="str">
        <f t="shared" ref="Q67:Q130" si="6">IF(OR(M67="Cash", M67="USSD"), "Yes", "No")</f>
        <v>Yes</v>
      </c>
      <c r="R67" t="str">
        <f t="shared" ref="R67:R130" si="7">IF(OR(AND(D67= "East", N67= "Completed"), M67= "Online"), "Priority", "Normal")</f>
        <v>Normal</v>
      </c>
    </row>
    <row r="68" spans="1:18" x14ac:dyDescent="0.35">
      <c r="A68" t="s">
        <v>144</v>
      </c>
      <c r="B68" s="2">
        <v>46188</v>
      </c>
      <c r="C68" t="s">
        <v>60</v>
      </c>
      <c r="D68" t="s">
        <v>16</v>
      </c>
      <c r="E68" t="s">
        <v>41</v>
      </c>
      <c r="F68" t="s">
        <v>18</v>
      </c>
      <c r="G68" t="s">
        <v>36</v>
      </c>
      <c r="H68" t="s">
        <v>37</v>
      </c>
      <c r="I68">
        <v>7</v>
      </c>
      <c r="J68" s="3">
        <v>173300</v>
      </c>
      <c r="K68" s="4">
        <v>0.15</v>
      </c>
      <c r="L68" s="3">
        <v>161000</v>
      </c>
      <c r="M68" t="s">
        <v>64</v>
      </c>
      <c r="N68" t="s">
        <v>38</v>
      </c>
      <c r="O68" t="str">
        <f t="shared" si="4"/>
        <v>No</v>
      </c>
      <c r="P68" t="str">
        <f t="shared" si="5"/>
        <v>No</v>
      </c>
      <c r="Q68" t="str">
        <f t="shared" si="6"/>
        <v>Yes</v>
      </c>
      <c r="R68" t="str">
        <f t="shared" si="7"/>
        <v>Normal</v>
      </c>
    </row>
    <row r="69" spans="1:18" x14ac:dyDescent="0.35">
      <c r="A69" t="s">
        <v>145</v>
      </c>
      <c r="B69" s="2">
        <v>46164</v>
      </c>
      <c r="C69" t="s">
        <v>15</v>
      </c>
      <c r="D69" t="s">
        <v>16</v>
      </c>
      <c r="E69" t="s">
        <v>63</v>
      </c>
      <c r="F69" t="s">
        <v>27</v>
      </c>
      <c r="G69" t="s">
        <v>43</v>
      </c>
      <c r="H69" t="s">
        <v>44</v>
      </c>
      <c r="I69">
        <v>4</v>
      </c>
      <c r="J69" s="3">
        <v>287800</v>
      </c>
      <c r="K69" s="4">
        <v>0.15</v>
      </c>
      <c r="L69" s="3">
        <v>303500</v>
      </c>
      <c r="M69" t="s">
        <v>45</v>
      </c>
      <c r="N69" t="s">
        <v>38</v>
      </c>
      <c r="O69" t="str">
        <f t="shared" si="4"/>
        <v>No</v>
      </c>
      <c r="P69" t="str">
        <f t="shared" si="5"/>
        <v>No</v>
      </c>
      <c r="Q69" t="str">
        <f t="shared" si="6"/>
        <v>Yes</v>
      </c>
      <c r="R69" t="str">
        <f t="shared" si="7"/>
        <v>Normal</v>
      </c>
    </row>
    <row r="70" spans="1:18" x14ac:dyDescent="0.35">
      <c r="A70" t="s">
        <v>146</v>
      </c>
      <c r="B70" s="2">
        <v>46103</v>
      </c>
      <c r="C70" t="s">
        <v>89</v>
      </c>
      <c r="D70" t="s">
        <v>33</v>
      </c>
      <c r="E70" t="s">
        <v>71</v>
      </c>
      <c r="F70" t="s">
        <v>68</v>
      </c>
      <c r="G70" t="s">
        <v>72</v>
      </c>
      <c r="H70" t="s">
        <v>44</v>
      </c>
      <c r="I70">
        <v>5</v>
      </c>
      <c r="J70" s="3">
        <v>221200</v>
      </c>
      <c r="K70" s="4">
        <v>0.1</v>
      </c>
      <c r="L70" s="3">
        <v>142200</v>
      </c>
      <c r="M70" t="s">
        <v>21</v>
      </c>
      <c r="N70" t="s">
        <v>22</v>
      </c>
      <c r="O70" t="str">
        <f t="shared" si="4"/>
        <v>No</v>
      </c>
      <c r="P70" t="str">
        <f t="shared" si="5"/>
        <v>No</v>
      </c>
      <c r="Q70" t="str">
        <f t="shared" si="6"/>
        <v>No</v>
      </c>
      <c r="R70" t="str">
        <f t="shared" si="7"/>
        <v>Normal</v>
      </c>
    </row>
    <row r="71" spans="1:18" x14ac:dyDescent="0.35">
      <c r="A71" t="s">
        <v>147</v>
      </c>
      <c r="B71" s="2">
        <v>46175</v>
      </c>
      <c r="C71" t="s">
        <v>51</v>
      </c>
      <c r="D71" t="s">
        <v>25</v>
      </c>
      <c r="E71" t="s">
        <v>66</v>
      </c>
      <c r="F71" t="s">
        <v>68</v>
      </c>
      <c r="G71" t="s">
        <v>72</v>
      </c>
      <c r="H71" t="s">
        <v>44</v>
      </c>
      <c r="I71">
        <v>5</v>
      </c>
      <c r="J71" s="3">
        <v>359100</v>
      </c>
      <c r="K71" s="4">
        <v>0.2</v>
      </c>
      <c r="L71" s="3">
        <v>343700</v>
      </c>
      <c r="M71" t="s">
        <v>45</v>
      </c>
      <c r="N71" t="s">
        <v>30</v>
      </c>
      <c r="O71" t="str">
        <f t="shared" si="4"/>
        <v>No</v>
      </c>
      <c r="P71" t="str">
        <f t="shared" si="5"/>
        <v>No</v>
      </c>
      <c r="Q71" t="str">
        <f t="shared" si="6"/>
        <v>Yes</v>
      </c>
      <c r="R71" t="str">
        <f t="shared" si="7"/>
        <v>Normal</v>
      </c>
    </row>
    <row r="72" spans="1:18" x14ac:dyDescent="0.35">
      <c r="A72" t="s">
        <v>148</v>
      </c>
      <c r="B72" s="2">
        <v>46034</v>
      </c>
      <c r="C72" t="s">
        <v>55</v>
      </c>
      <c r="D72" t="s">
        <v>33</v>
      </c>
      <c r="E72" t="s">
        <v>52</v>
      </c>
      <c r="F72" t="s">
        <v>35</v>
      </c>
      <c r="G72" t="s">
        <v>102</v>
      </c>
      <c r="H72" t="s">
        <v>20</v>
      </c>
      <c r="I72">
        <v>5</v>
      </c>
      <c r="J72" s="3">
        <v>7300</v>
      </c>
      <c r="K72" s="4">
        <v>0.1</v>
      </c>
      <c r="L72" s="3">
        <v>10900</v>
      </c>
      <c r="M72" t="s">
        <v>21</v>
      </c>
      <c r="N72" t="s">
        <v>38</v>
      </c>
      <c r="O72" t="str">
        <f t="shared" si="4"/>
        <v>No</v>
      </c>
      <c r="P72" t="str">
        <f t="shared" si="5"/>
        <v>No</v>
      </c>
      <c r="Q72" t="str">
        <f t="shared" si="6"/>
        <v>No</v>
      </c>
      <c r="R72" t="str">
        <f t="shared" si="7"/>
        <v>Normal</v>
      </c>
    </row>
    <row r="73" spans="1:18" x14ac:dyDescent="0.35">
      <c r="A73" t="s">
        <v>149</v>
      </c>
      <c r="B73" s="2">
        <v>46087</v>
      </c>
      <c r="C73" t="s">
        <v>47</v>
      </c>
      <c r="D73" t="s">
        <v>48</v>
      </c>
      <c r="E73" t="s">
        <v>49</v>
      </c>
      <c r="F73" t="s">
        <v>18</v>
      </c>
      <c r="G73" t="s">
        <v>53</v>
      </c>
      <c r="H73" t="s">
        <v>37</v>
      </c>
      <c r="I73">
        <v>8</v>
      </c>
      <c r="J73" s="3">
        <v>565400</v>
      </c>
      <c r="K73" s="4">
        <v>0.05</v>
      </c>
      <c r="L73" s="3">
        <v>369200</v>
      </c>
      <c r="M73" t="s">
        <v>64</v>
      </c>
      <c r="N73" t="s">
        <v>38</v>
      </c>
      <c r="O73" t="str">
        <f t="shared" si="4"/>
        <v>Yes</v>
      </c>
      <c r="P73" t="str">
        <f t="shared" si="5"/>
        <v>No</v>
      </c>
      <c r="Q73" t="str">
        <f t="shared" si="6"/>
        <v>Yes</v>
      </c>
      <c r="R73" t="str">
        <f t="shared" si="7"/>
        <v>Priority</v>
      </c>
    </row>
    <row r="74" spans="1:18" x14ac:dyDescent="0.35">
      <c r="A74" t="s">
        <v>150</v>
      </c>
      <c r="B74" s="2">
        <v>46044</v>
      </c>
      <c r="C74" t="s">
        <v>32</v>
      </c>
      <c r="D74" t="s">
        <v>48</v>
      </c>
      <c r="E74" t="s">
        <v>83</v>
      </c>
      <c r="F74" t="s">
        <v>18</v>
      </c>
      <c r="G74" t="s">
        <v>19</v>
      </c>
      <c r="H74" t="s">
        <v>20</v>
      </c>
      <c r="I74">
        <v>3</v>
      </c>
      <c r="J74" s="3">
        <v>51700</v>
      </c>
      <c r="K74" s="4">
        <v>0.1</v>
      </c>
      <c r="L74" s="3">
        <v>47500</v>
      </c>
      <c r="M74" t="s">
        <v>29</v>
      </c>
      <c r="N74" t="s">
        <v>38</v>
      </c>
      <c r="O74" t="str">
        <f t="shared" si="4"/>
        <v>Yes</v>
      </c>
      <c r="P74" t="str">
        <f t="shared" si="5"/>
        <v>No</v>
      </c>
      <c r="Q74" t="str">
        <f t="shared" si="6"/>
        <v>No</v>
      </c>
      <c r="R74" t="str">
        <f t="shared" si="7"/>
        <v>Priority</v>
      </c>
    </row>
    <row r="75" spans="1:18" x14ac:dyDescent="0.35">
      <c r="A75" t="s">
        <v>151</v>
      </c>
      <c r="B75" s="2">
        <v>46168</v>
      </c>
      <c r="C75" t="s">
        <v>86</v>
      </c>
      <c r="D75" t="s">
        <v>25</v>
      </c>
      <c r="E75" t="s">
        <v>100</v>
      </c>
      <c r="F75" t="s">
        <v>42</v>
      </c>
      <c r="G75" t="s">
        <v>72</v>
      </c>
      <c r="H75" t="s">
        <v>44</v>
      </c>
      <c r="I75">
        <v>5</v>
      </c>
      <c r="J75" s="3">
        <v>403900</v>
      </c>
      <c r="K75" s="4">
        <v>0.1</v>
      </c>
      <c r="L75" s="3">
        <v>347300</v>
      </c>
      <c r="M75" t="s">
        <v>21</v>
      </c>
      <c r="N75" t="s">
        <v>38</v>
      </c>
      <c r="O75" t="str">
        <f t="shared" si="4"/>
        <v>No</v>
      </c>
      <c r="P75" t="str">
        <f t="shared" si="5"/>
        <v>No</v>
      </c>
      <c r="Q75" t="str">
        <f t="shared" si="6"/>
        <v>No</v>
      </c>
      <c r="R75" t="str">
        <f t="shared" si="7"/>
        <v>Normal</v>
      </c>
    </row>
    <row r="76" spans="1:18" x14ac:dyDescent="0.35">
      <c r="A76" t="s">
        <v>152</v>
      </c>
      <c r="B76" s="2">
        <v>46023</v>
      </c>
      <c r="C76" t="s">
        <v>62</v>
      </c>
      <c r="D76" t="s">
        <v>25</v>
      </c>
      <c r="E76" t="s">
        <v>66</v>
      </c>
      <c r="F76" t="s">
        <v>35</v>
      </c>
      <c r="G76" t="s">
        <v>28</v>
      </c>
      <c r="H76" t="s">
        <v>20</v>
      </c>
      <c r="I76">
        <v>3</v>
      </c>
      <c r="J76" s="3">
        <v>18400</v>
      </c>
      <c r="K76" s="4">
        <v>0.1</v>
      </c>
      <c r="L76" s="3">
        <v>19500</v>
      </c>
      <c r="M76" t="s">
        <v>64</v>
      </c>
      <c r="N76" t="s">
        <v>38</v>
      </c>
      <c r="O76" t="str">
        <f t="shared" si="4"/>
        <v>No</v>
      </c>
      <c r="P76" t="str">
        <f t="shared" si="5"/>
        <v>No</v>
      </c>
      <c r="Q76" t="str">
        <f t="shared" si="6"/>
        <v>Yes</v>
      </c>
      <c r="R76" t="str">
        <f t="shared" si="7"/>
        <v>Normal</v>
      </c>
    </row>
    <row r="77" spans="1:18" x14ac:dyDescent="0.35">
      <c r="A77" t="s">
        <v>153</v>
      </c>
      <c r="B77" s="2">
        <v>46041</v>
      </c>
      <c r="C77" t="s">
        <v>74</v>
      </c>
      <c r="D77" t="s">
        <v>48</v>
      </c>
      <c r="E77" t="s">
        <v>104</v>
      </c>
      <c r="F77" t="s">
        <v>18</v>
      </c>
      <c r="G77" t="s">
        <v>36</v>
      </c>
      <c r="H77" t="s">
        <v>37</v>
      </c>
      <c r="I77">
        <v>5</v>
      </c>
      <c r="J77" s="3">
        <v>206000</v>
      </c>
      <c r="K77" s="4">
        <v>0.15</v>
      </c>
      <c r="L77" s="3">
        <v>154400</v>
      </c>
      <c r="M77" t="s">
        <v>29</v>
      </c>
      <c r="N77" t="s">
        <v>30</v>
      </c>
      <c r="O77" t="str">
        <f t="shared" si="4"/>
        <v>No</v>
      </c>
      <c r="P77" t="str">
        <f t="shared" si="5"/>
        <v>No</v>
      </c>
      <c r="Q77" t="str">
        <f t="shared" si="6"/>
        <v>No</v>
      </c>
      <c r="R77" t="str">
        <f t="shared" si="7"/>
        <v>Normal</v>
      </c>
    </row>
    <row r="78" spans="1:18" x14ac:dyDescent="0.35">
      <c r="A78" t="s">
        <v>154</v>
      </c>
      <c r="B78" s="2">
        <v>46038</v>
      </c>
      <c r="C78" t="s">
        <v>95</v>
      </c>
      <c r="D78" t="s">
        <v>25</v>
      </c>
      <c r="E78" t="s">
        <v>100</v>
      </c>
      <c r="F78" t="s">
        <v>18</v>
      </c>
      <c r="G78" t="s">
        <v>36</v>
      </c>
      <c r="H78" t="s">
        <v>37</v>
      </c>
      <c r="I78">
        <v>3</v>
      </c>
      <c r="J78" s="3">
        <v>236300</v>
      </c>
      <c r="K78" s="4">
        <v>0.05</v>
      </c>
      <c r="L78" s="3">
        <v>169200</v>
      </c>
      <c r="M78" t="s">
        <v>29</v>
      </c>
      <c r="N78" t="s">
        <v>22</v>
      </c>
      <c r="O78" t="str">
        <f t="shared" si="4"/>
        <v>No</v>
      </c>
      <c r="P78" t="str">
        <f t="shared" si="5"/>
        <v>No</v>
      </c>
      <c r="Q78" t="str">
        <f t="shared" si="6"/>
        <v>No</v>
      </c>
      <c r="R78" t="str">
        <f t="shared" si="7"/>
        <v>Normal</v>
      </c>
    </row>
    <row r="79" spans="1:18" x14ac:dyDescent="0.35">
      <c r="A79" t="s">
        <v>155</v>
      </c>
      <c r="B79" s="2">
        <v>46161</v>
      </c>
      <c r="C79" t="s">
        <v>74</v>
      </c>
      <c r="D79" t="s">
        <v>33</v>
      </c>
      <c r="E79" t="s">
        <v>77</v>
      </c>
      <c r="F79" t="s">
        <v>18</v>
      </c>
      <c r="G79" t="s">
        <v>72</v>
      </c>
      <c r="H79" t="s">
        <v>44</v>
      </c>
      <c r="I79">
        <v>5</v>
      </c>
      <c r="J79" s="3">
        <v>350900</v>
      </c>
      <c r="K79" s="4">
        <v>0.2</v>
      </c>
      <c r="L79" s="3">
        <v>334500</v>
      </c>
      <c r="M79" t="s">
        <v>64</v>
      </c>
      <c r="N79" t="s">
        <v>38</v>
      </c>
      <c r="O79" t="str">
        <f t="shared" si="4"/>
        <v>No</v>
      </c>
      <c r="P79" t="str">
        <f t="shared" si="5"/>
        <v>No</v>
      </c>
      <c r="Q79" t="str">
        <f t="shared" si="6"/>
        <v>Yes</v>
      </c>
      <c r="R79" t="str">
        <f t="shared" si="7"/>
        <v>Normal</v>
      </c>
    </row>
    <row r="80" spans="1:18" x14ac:dyDescent="0.35">
      <c r="A80" t="s">
        <v>156</v>
      </c>
      <c r="B80" s="2">
        <v>46173</v>
      </c>
      <c r="C80" t="s">
        <v>74</v>
      </c>
      <c r="D80" t="s">
        <v>16</v>
      </c>
      <c r="E80" t="s">
        <v>87</v>
      </c>
      <c r="F80" t="s">
        <v>68</v>
      </c>
      <c r="G80" t="s">
        <v>78</v>
      </c>
      <c r="H80" t="s">
        <v>37</v>
      </c>
      <c r="I80">
        <v>10</v>
      </c>
      <c r="J80" s="3">
        <v>400100</v>
      </c>
      <c r="K80" s="4">
        <v>0.2</v>
      </c>
      <c r="L80" s="3">
        <v>250100</v>
      </c>
      <c r="M80" t="s">
        <v>21</v>
      </c>
      <c r="N80" t="s">
        <v>30</v>
      </c>
      <c r="O80" t="str">
        <f t="shared" si="4"/>
        <v>No</v>
      </c>
      <c r="P80" t="str">
        <f t="shared" si="5"/>
        <v>No</v>
      </c>
      <c r="Q80" t="str">
        <f t="shared" si="6"/>
        <v>No</v>
      </c>
      <c r="R80" t="str">
        <f t="shared" si="7"/>
        <v>Normal</v>
      </c>
    </row>
    <row r="81" spans="1:18" x14ac:dyDescent="0.35">
      <c r="A81" t="s">
        <v>157</v>
      </c>
      <c r="B81" s="2">
        <v>46046</v>
      </c>
      <c r="C81" t="s">
        <v>60</v>
      </c>
      <c r="D81" t="s">
        <v>16</v>
      </c>
      <c r="E81" t="s">
        <v>41</v>
      </c>
      <c r="F81" t="s">
        <v>42</v>
      </c>
      <c r="G81" t="s">
        <v>72</v>
      </c>
      <c r="H81" t="s">
        <v>44</v>
      </c>
      <c r="I81">
        <v>5</v>
      </c>
      <c r="J81" s="3">
        <v>179900</v>
      </c>
      <c r="K81" s="4">
        <v>0.15</v>
      </c>
      <c r="L81" s="3">
        <v>238000</v>
      </c>
      <c r="M81" t="s">
        <v>64</v>
      </c>
      <c r="N81" t="s">
        <v>38</v>
      </c>
      <c r="O81" t="str">
        <f t="shared" si="4"/>
        <v>No</v>
      </c>
      <c r="P81" t="str">
        <f t="shared" si="5"/>
        <v>No</v>
      </c>
      <c r="Q81" t="str">
        <f t="shared" si="6"/>
        <v>Yes</v>
      </c>
      <c r="R81" t="str">
        <f t="shared" si="7"/>
        <v>Normal</v>
      </c>
    </row>
    <row r="82" spans="1:18" x14ac:dyDescent="0.35">
      <c r="A82" t="s">
        <v>158</v>
      </c>
      <c r="B82" s="2">
        <v>46231</v>
      </c>
      <c r="C82" t="s">
        <v>124</v>
      </c>
      <c r="D82" t="s">
        <v>33</v>
      </c>
      <c r="E82" t="s">
        <v>34</v>
      </c>
      <c r="F82" t="s">
        <v>27</v>
      </c>
      <c r="G82" t="s">
        <v>78</v>
      </c>
      <c r="H82" t="s">
        <v>37</v>
      </c>
      <c r="I82">
        <v>7</v>
      </c>
      <c r="J82" s="3">
        <v>577500</v>
      </c>
      <c r="K82" s="4">
        <v>0.15</v>
      </c>
      <c r="L82" s="3">
        <v>315100</v>
      </c>
      <c r="M82" t="s">
        <v>21</v>
      </c>
      <c r="N82" t="s">
        <v>38</v>
      </c>
      <c r="O82" t="str">
        <f t="shared" si="4"/>
        <v>No</v>
      </c>
      <c r="P82" t="str">
        <f t="shared" si="5"/>
        <v>No</v>
      </c>
      <c r="Q82" t="str">
        <f t="shared" si="6"/>
        <v>No</v>
      </c>
      <c r="R82" t="str">
        <f t="shared" si="7"/>
        <v>Normal</v>
      </c>
    </row>
    <row r="83" spans="1:18" x14ac:dyDescent="0.35">
      <c r="A83" t="s">
        <v>159</v>
      </c>
      <c r="B83" s="2">
        <v>46141</v>
      </c>
      <c r="C83" t="s">
        <v>124</v>
      </c>
      <c r="D83" t="s">
        <v>33</v>
      </c>
      <c r="E83" t="s">
        <v>71</v>
      </c>
      <c r="F83" t="s">
        <v>18</v>
      </c>
      <c r="G83" t="s">
        <v>43</v>
      </c>
      <c r="H83" t="s">
        <v>44</v>
      </c>
      <c r="I83">
        <v>9</v>
      </c>
      <c r="J83" s="3">
        <v>521200</v>
      </c>
      <c r="K83" s="4">
        <v>0.2</v>
      </c>
      <c r="L83" s="3">
        <v>100400</v>
      </c>
      <c r="M83" t="s">
        <v>64</v>
      </c>
      <c r="N83" t="s">
        <v>38</v>
      </c>
      <c r="O83" t="str">
        <f t="shared" si="4"/>
        <v>No</v>
      </c>
      <c r="P83" t="str">
        <f t="shared" si="5"/>
        <v>No</v>
      </c>
      <c r="Q83" t="str">
        <f t="shared" si="6"/>
        <v>Yes</v>
      </c>
      <c r="R83" t="str">
        <f t="shared" si="7"/>
        <v>Normal</v>
      </c>
    </row>
    <row r="84" spans="1:18" x14ac:dyDescent="0.35">
      <c r="A84" t="s">
        <v>160</v>
      </c>
      <c r="B84" s="2">
        <v>46135</v>
      </c>
      <c r="C84" t="s">
        <v>108</v>
      </c>
      <c r="D84" t="s">
        <v>33</v>
      </c>
      <c r="E84" t="s">
        <v>77</v>
      </c>
      <c r="F84" t="s">
        <v>68</v>
      </c>
      <c r="G84" t="s">
        <v>72</v>
      </c>
      <c r="H84" t="s">
        <v>44</v>
      </c>
      <c r="I84">
        <v>1</v>
      </c>
      <c r="J84" s="3">
        <v>187200</v>
      </c>
      <c r="K84" s="4">
        <v>0.1</v>
      </c>
      <c r="L84" s="3">
        <v>228300</v>
      </c>
      <c r="M84" t="s">
        <v>64</v>
      </c>
      <c r="N84" t="s">
        <v>38</v>
      </c>
      <c r="O84" t="str">
        <f t="shared" si="4"/>
        <v>No</v>
      </c>
      <c r="P84" t="str">
        <f t="shared" si="5"/>
        <v>No</v>
      </c>
      <c r="Q84" t="str">
        <f t="shared" si="6"/>
        <v>Yes</v>
      </c>
      <c r="R84" t="str">
        <f t="shared" si="7"/>
        <v>Normal</v>
      </c>
    </row>
    <row r="85" spans="1:18" x14ac:dyDescent="0.35">
      <c r="A85" t="s">
        <v>161</v>
      </c>
      <c r="B85" s="2">
        <v>46141</v>
      </c>
      <c r="C85" t="s">
        <v>74</v>
      </c>
      <c r="D85" t="s">
        <v>25</v>
      </c>
      <c r="E85" t="s">
        <v>66</v>
      </c>
      <c r="F85" t="s">
        <v>35</v>
      </c>
      <c r="G85" t="s">
        <v>19</v>
      </c>
      <c r="H85" t="s">
        <v>20</v>
      </c>
      <c r="I85">
        <v>9</v>
      </c>
      <c r="J85" s="3">
        <v>63400</v>
      </c>
      <c r="K85" s="4">
        <v>0.05</v>
      </c>
      <c r="L85" s="3">
        <v>34000</v>
      </c>
      <c r="M85" t="s">
        <v>21</v>
      </c>
      <c r="N85" t="s">
        <v>38</v>
      </c>
      <c r="O85" t="str">
        <f t="shared" si="4"/>
        <v>No</v>
      </c>
      <c r="P85" t="str">
        <f t="shared" si="5"/>
        <v>No</v>
      </c>
      <c r="Q85" t="str">
        <f t="shared" si="6"/>
        <v>No</v>
      </c>
      <c r="R85" t="str">
        <f t="shared" si="7"/>
        <v>Normal</v>
      </c>
    </row>
    <row r="86" spans="1:18" x14ac:dyDescent="0.35">
      <c r="A86" t="s">
        <v>162</v>
      </c>
      <c r="B86" s="2">
        <v>46139</v>
      </c>
      <c r="C86" t="s">
        <v>47</v>
      </c>
      <c r="D86" t="s">
        <v>48</v>
      </c>
      <c r="E86" t="s">
        <v>104</v>
      </c>
      <c r="F86" t="s">
        <v>58</v>
      </c>
      <c r="G86" t="s">
        <v>53</v>
      </c>
      <c r="H86" t="s">
        <v>37</v>
      </c>
      <c r="I86">
        <v>7</v>
      </c>
      <c r="J86" s="3">
        <v>725600</v>
      </c>
      <c r="K86" s="4">
        <v>0.1</v>
      </c>
      <c r="L86" s="3">
        <v>593100</v>
      </c>
      <c r="M86" t="s">
        <v>29</v>
      </c>
      <c r="N86" t="s">
        <v>38</v>
      </c>
      <c r="O86" t="str">
        <f t="shared" si="4"/>
        <v>Yes</v>
      </c>
      <c r="P86" t="str">
        <f t="shared" si="5"/>
        <v>No</v>
      </c>
      <c r="Q86" t="str">
        <f t="shared" si="6"/>
        <v>No</v>
      </c>
      <c r="R86" t="str">
        <f t="shared" si="7"/>
        <v>Priority</v>
      </c>
    </row>
    <row r="87" spans="1:18" x14ac:dyDescent="0.35">
      <c r="A87" t="s">
        <v>163</v>
      </c>
      <c r="B87" s="2">
        <v>46095</v>
      </c>
      <c r="C87" t="s">
        <v>74</v>
      </c>
      <c r="D87" t="s">
        <v>25</v>
      </c>
      <c r="E87" t="s">
        <v>26</v>
      </c>
      <c r="F87" t="s">
        <v>35</v>
      </c>
      <c r="G87" t="s">
        <v>43</v>
      </c>
      <c r="H87" t="s">
        <v>44</v>
      </c>
      <c r="I87">
        <v>6</v>
      </c>
      <c r="J87" s="3">
        <v>570400</v>
      </c>
      <c r="K87" s="4">
        <v>0.05</v>
      </c>
      <c r="L87" s="3">
        <v>277700</v>
      </c>
      <c r="M87" t="s">
        <v>45</v>
      </c>
      <c r="N87" t="s">
        <v>22</v>
      </c>
      <c r="O87" t="str">
        <f t="shared" si="4"/>
        <v>No</v>
      </c>
      <c r="P87" t="str">
        <f t="shared" si="5"/>
        <v>No</v>
      </c>
      <c r="Q87" t="str">
        <f t="shared" si="6"/>
        <v>Yes</v>
      </c>
      <c r="R87" t="str">
        <f t="shared" si="7"/>
        <v>Normal</v>
      </c>
    </row>
    <row r="88" spans="1:18" x14ac:dyDescent="0.35">
      <c r="A88" t="s">
        <v>164</v>
      </c>
      <c r="B88" s="2">
        <v>46139</v>
      </c>
      <c r="C88" t="s">
        <v>95</v>
      </c>
      <c r="D88" t="s">
        <v>48</v>
      </c>
      <c r="E88" t="s">
        <v>165</v>
      </c>
      <c r="F88" t="s">
        <v>42</v>
      </c>
      <c r="G88" t="s">
        <v>72</v>
      </c>
      <c r="H88" t="s">
        <v>44</v>
      </c>
      <c r="I88">
        <v>6</v>
      </c>
      <c r="J88" s="3">
        <v>229700</v>
      </c>
      <c r="K88" s="4">
        <v>0.15</v>
      </c>
      <c r="L88" s="3">
        <v>286000</v>
      </c>
      <c r="M88" t="s">
        <v>45</v>
      </c>
      <c r="N88" t="s">
        <v>22</v>
      </c>
      <c r="O88" t="str">
        <f t="shared" si="4"/>
        <v>No</v>
      </c>
      <c r="P88" t="str">
        <f t="shared" si="5"/>
        <v>No</v>
      </c>
      <c r="Q88" t="str">
        <f t="shared" si="6"/>
        <v>Yes</v>
      </c>
      <c r="R88" t="str">
        <f t="shared" si="7"/>
        <v>Normal</v>
      </c>
    </row>
    <row r="89" spans="1:18" x14ac:dyDescent="0.35">
      <c r="A89" t="s">
        <v>166</v>
      </c>
      <c r="B89" s="2">
        <v>46121</v>
      </c>
      <c r="C89" t="s">
        <v>57</v>
      </c>
      <c r="D89" t="s">
        <v>48</v>
      </c>
      <c r="E89" t="s">
        <v>165</v>
      </c>
      <c r="F89" t="s">
        <v>42</v>
      </c>
      <c r="G89" t="s">
        <v>19</v>
      </c>
      <c r="H89" t="s">
        <v>20</v>
      </c>
      <c r="I89">
        <v>6</v>
      </c>
      <c r="J89" s="3">
        <v>78500</v>
      </c>
      <c r="K89" s="4">
        <v>0.15</v>
      </c>
      <c r="L89" s="3">
        <v>53200</v>
      </c>
      <c r="M89" t="s">
        <v>29</v>
      </c>
      <c r="N89" t="s">
        <v>38</v>
      </c>
      <c r="O89" t="str">
        <f t="shared" si="4"/>
        <v>Yes</v>
      </c>
      <c r="P89" t="str">
        <f t="shared" si="5"/>
        <v>No</v>
      </c>
      <c r="Q89" t="str">
        <f t="shared" si="6"/>
        <v>No</v>
      </c>
      <c r="R89" t="str">
        <f t="shared" si="7"/>
        <v>Priority</v>
      </c>
    </row>
    <row r="90" spans="1:18" x14ac:dyDescent="0.35">
      <c r="A90" t="s">
        <v>167</v>
      </c>
      <c r="B90" s="2">
        <v>46127</v>
      </c>
      <c r="C90" t="s">
        <v>24</v>
      </c>
      <c r="D90" t="s">
        <v>25</v>
      </c>
      <c r="E90" t="s">
        <v>113</v>
      </c>
      <c r="F90" t="s">
        <v>18</v>
      </c>
      <c r="G90" t="s">
        <v>72</v>
      </c>
      <c r="H90" t="s">
        <v>44</v>
      </c>
      <c r="I90">
        <v>2</v>
      </c>
      <c r="J90" s="3">
        <v>293600</v>
      </c>
      <c r="K90" s="4">
        <v>0.1</v>
      </c>
      <c r="L90" s="3">
        <v>203400</v>
      </c>
      <c r="M90" t="s">
        <v>29</v>
      </c>
      <c r="N90" t="s">
        <v>38</v>
      </c>
      <c r="O90" t="str">
        <f t="shared" si="4"/>
        <v>No</v>
      </c>
      <c r="P90" t="str">
        <f t="shared" si="5"/>
        <v>No</v>
      </c>
      <c r="Q90" t="str">
        <f t="shared" si="6"/>
        <v>No</v>
      </c>
      <c r="R90" t="str">
        <f t="shared" si="7"/>
        <v>Normal</v>
      </c>
    </row>
    <row r="91" spans="1:18" x14ac:dyDescent="0.35">
      <c r="A91" t="s">
        <v>168</v>
      </c>
      <c r="B91" s="2">
        <v>46104</v>
      </c>
      <c r="C91" t="s">
        <v>60</v>
      </c>
      <c r="D91" t="s">
        <v>33</v>
      </c>
      <c r="E91" t="s">
        <v>77</v>
      </c>
      <c r="F91" t="s">
        <v>68</v>
      </c>
      <c r="G91" t="s">
        <v>28</v>
      </c>
      <c r="H91" t="s">
        <v>20</v>
      </c>
      <c r="I91">
        <v>6</v>
      </c>
      <c r="J91" s="3">
        <v>39800</v>
      </c>
      <c r="K91" s="4">
        <v>0.15</v>
      </c>
      <c r="L91" s="3">
        <v>26700</v>
      </c>
      <c r="M91" t="s">
        <v>64</v>
      </c>
      <c r="N91" t="s">
        <v>22</v>
      </c>
      <c r="O91" t="str">
        <f t="shared" si="4"/>
        <v>No</v>
      </c>
      <c r="P91" t="str">
        <f t="shared" si="5"/>
        <v>No</v>
      </c>
      <c r="Q91" t="str">
        <f t="shared" si="6"/>
        <v>Yes</v>
      </c>
      <c r="R91" t="str">
        <f t="shared" si="7"/>
        <v>Normal</v>
      </c>
    </row>
    <row r="92" spans="1:18" x14ac:dyDescent="0.35">
      <c r="A92" t="s">
        <v>169</v>
      </c>
      <c r="B92" s="2">
        <v>46217</v>
      </c>
      <c r="C92" t="s">
        <v>24</v>
      </c>
      <c r="D92" t="s">
        <v>16</v>
      </c>
      <c r="E92" t="s">
        <v>41</v>
      </c>
      <c r="F92" t="s">
        <v>68</v>
      </c>
      <c r="G92" t="s">
        <v>53</v>
      </c>
      <c r="H92" t="s">
        <v>37</v>
      </c>
      <c r="I92">
        <v>4</v>
      </c>
      <c r="J92" s="3">
        <v>686000</v>
      </c>
      <c r="K92" s="4">
        <v>0.05</v>
      </c>
      <c r="L92" s="3">
        <v>401900</v>
      </c>
      <c r="M92" t="s">
        <v>21</v>
      </c>
      <c r="N92" t="s">
        <v>38</v>
      </c>
      <c r="O92" t="str">
        <f t="shared" si="4"/>
        <v>No</v>
      </c>
      <c r="P92" t="str">
        <f t="shared" si="5"/>
        <v>No</v>
      </c>
      <c r="Q92" t="str">
        <f t="shared" si="6"/>
        <v>No</v>
      </c>
      <c r="R92" t="str">
        <f t="shared" si="7"/>
        <v>Normal</v>
      </c>
    </row>
    <row r="93" spans="1:18" x14ac:dyDescent="0.35">
      <c r="A93" t="s">
        <v>170</v>
      </c>
      <c r="B93" s="2">
        <v>46158</v>
      </c>
      <c r="C93" t="s">
        <v>106</v>
      </c>
      <c r="D93" t="s">
        <v>16</v>
      </c>
      <c r="E93" t="s">
        <v>17</v>
      </c>
      <c r="F93" t="s">
        <v>35</v>
      </c>
      <c r="G93" t="s">
        <v>19</v>
      </c>
      <c r="H93" t="s">
        <v>20</v>
      </c>
      <c r="I93">
        <v>5</v>
      </c>
      <c r="J93" s="3">
        <v>61100</v>
      </c>
      <c r="K93" s="4">
        <v>0.1</v>
      </c>
      <c r="L93" s="3">
        <v>42200</v>
      </c>
      <c r="M93" t="s">
        <v>64</v>
      </c>
      <c r="N93" t="s">
        <v>38</v>
      </c>
      <c r="O93" t="str">
        <f t="shared" si="4"/>
        <v>No</v>
      </c>
      <c r="P93" t="str">
        <f t="shared" si="5"/>
        <v>No</v>
      </c>
      <c r="Q93" t="str">
        <f t="shared" si="6"/>
        <v>Yes</v>
      </c>
      <c r="R93" t="str">
        <f t="shared" si="7"/>
        <v>Normal</v>
      </c>
    </row>
    <row r="94" spans="1:18" x14ac:dyDescent="0.35">
      <c r="A94" t="s">
        <v>171</v>
      </c>
      <c r="B94" s="2">
        <v>46059</v>
      </c>
      <c r="C94" t="s">
        <v>51</v>
      </c>
      <c r="D94" t="s">
        <v>25</v>
      </c>
      <c r="E94" t="s">
        <v>66</v>
      </c>
      <c r="F94" t="s">
        <v>18</v>
      </c>
      <c r="G94" t="s">
        <v>43</v>
      </c>
      <c r="H94" t="s">
        <v>44</v>
      </c>
      <c r="I94">
        <v>10</v>
      </c>
      <c r="J94" s="3">
        <v>457400</v>
      </c>
      <c r="K94" s="4">
        <v>0.2</v>
      </c>
      <c r="L94" s="3">
        <v>274200</v>
      </c>
      <c r="M94" t="s">
        <v>29</v>
      </c>
      <c r="N94" t="s">
        <v>38</v>
      </c>
      <c r="O94" t="str">
        <f t="shared" si="4"/>
        <v>No</v>
      </c>
      <c r="P94" t="str">
        <f t="shared" si="5"/>
        <v>Yes</v>
      </c>
      <c r="Q94" t="str">
        <f t="shared" si="6"/>
        <v>No</v>
      </c>
      <c r="R94" t="str">
        <f t="shared" si="7"/>
        <v>Normal</v>
      </c>
    </row>
    <row r="95" spans="1:18" x14ac:dyDescent="0.35">
      <c r="A95" t="s">
        <v>172</v>
      </c>
      <c r="B95" s="2">
        <v>46041</v>
      </c>
      <c r="C95" t="s">
        <v>60</v>
      </c>
      <c r="D95" t="s">
        <v>48</v>
      </c>
      <c r="E95" t="s">
        <v>104</v>
      </c>
      <c r="F95" t="s">
        <v>68</v>
      </c>
      <c r="G95" t="s">
        <v>19</v>
      </c>
      <c r="H95" t="s">
        <v>20</v>
      </c>
      <c r="I95">
        <v>8</v>
      </c>
      <c r="J95" s="3">
        <v>85600</v>
      </c>
      <c r="K95" s="4">
        <v>0.1</v>
      </c>
      <c r="L95" s="3">
        <v>52100</v>
      </c>
      <c r="M95" t="s">
        <v>64</v>
      </c>
      <c r="N95" t="s">
        <v>30</v>
      </c>
      <c r="O95" t="str">
        <f t="shared" si="4"/>
        <v>No</v>
      </c>
      <c r="P95" t="str">
        <f t="shared" si="5"/>
        <v>No</v>
      </c>
      <c r="Q95" t="str">
        <f t="shared" si="6"/>
        <v>Yes</v>
      </c>
      <c r="R95" t="str">
        <f t="shared" si="7"/>
        <v>Normal</v>
      </c>
    </row>
    <row r="96" spans="1:18" x14ac:dyDescent="0.35">
      <c r="A96" t="s">
        <v>173</v>
      </c>
      <c r="B96" s="2">
        <v>46241</v>
      </c>
      <c r="C96" t="s">
        <v>95</v>
      </c>
      <c r="D96" t="s">
        <v>33</v>
      </c>
      <c r="E96" t="s">
        <v>77</v>
      </c>
      <c r="F96" t="s">
        <v>68</v>
      </c>
      <c r="G96" t="s">
        <v>53</v>
      </c>
      <c r="H96" t="s">
        <v>37</v>
      </c>
      <c r="I96">
        <v>8</v>
      </c>
      <c r="J96" s="3">
        <v>730400</v>
      </c>
      <c r="K96" s="4">
        <v>0.15</v>
      </c>
      <c r="L96" s="3">
        <v>319700</v>
      </c>
      <c r="M96" t="s">
        <v>64</v>
      </c>
      <c r="N96" t="s">
        <v>38</v>
      </c>
      <c r="O96" t="str">
        <f t="shared" si="4"/>
        <v>No</v>
      </c>
      <c r="P96" t="str">
        <f t="shared" si="5"/>
        <v>No</v>
      </c>
      <c r="Q96" t="str">
        <f t="shared" si="6"/>
        <v>Yes</v>
      </c>
      <c r="R96" t="str">
        <f t="shared" si="7"/>
        <v>Normal</v>
      </c>
    </row>
    <row r="97" spans="1:18" x14ac:dyDescent="0.35">
      <c r="A97" t="s">
        <v>174</v>
      </c>
      <c r="B97" s="2">
        <v>46025</v>
      </c>
      <c r="C97" t="s">
        <v>76</v>
      </c>
      <c r="D97" t="s">
        <v>33</v>
      </c>
      <c r="E97" t="s">
        <v>71</v>
      </c>
      <c r="F97" t="s">
        <v>68</v>
      </c>
      <c r="G97" t="s">
        <v>53</v>
      </c>
      <c r="H97" t="s">
        <v>37</v>
      </c>
      <c r="I97">
        <v>1</v>
      </c>
      <c r="J97" s="3">
        <v>790100</v>
      </c>
      <c r="K97" s="4">
        <v>0.1</v>
      </c>
      <c r="L97" s="3">
        <v>480400</v>
      </c>
      <c r="M97" t="s">
        <v>21</v>
      </c>
      <c r="N97" t="s">
        <v>30</v>
      </c>
      <c r="O97" t="str">
        <f t="shared" si="4"/>
        <v>No</v>
      </c>
      <c r="P97" t="str">
        <f t="shared" si="5"/>
        <v>No</v>
      </c>
      <c r="Q97" t="str">
        <f t="shared" si="6"/>
        <v>No</v>
      </c>
      <c r="R97" t="str">
        <f t="shared" si="7"/>
        <v>Normal</v>
      </c>
    </row>
    <row r="98" spans="1:18" x14ac:dyDescent="0.35">
      <c r="A98" t="s">
        <v>175</v>
      </c>
      <c r="B98" s="2">
        <v>46183</v>
      </c>
      <c r="C98" t="s">
        <v>82</v>
      </c>
      <c r="D98" t="s">
        <v>33</v>
      </c>
      <c r="E98" t="s">
        <v>52</v>
      </c>
      <c r="F98" t="s">
        <v>58</v>
      </c>
      <c r="G98" t="s">
        <v>78</v>
      </c>
      <c r="H98" t="s">
        <v>37</v>
      </c>
      <c r="I98">
        <v>4</v>
      </c>
      <c r="J98" s="3">
        <v>554600</v>
      </c>
      <c r="K98" s="4">
        <v>0.1</v>
      </c>
      <c r="L98" s="3">
        <v>424900</v>
      </c>
      <c r="M98" t="s">
        <v>21</v>
      </c>
      <c r="N98" t="s">
        <v>30</v>
      </c>
      <c r="O98" t="str">
        <f t="shared" si="4"/>
        <v>No</v>
      </c>
      <c r="P98" t="str">
        <f t="shared" si="5"/>
        <v>No</v>
      </c>
      <c r="Q98" t="str">
        <f t="shared" si="6"/>
        <v>No</v>
      </c>
      <c r="R98" t="str">
        <f t="shared" si="7"/>
        <v>Normal</v>
      </c>
    </row>
    <row r="99" spans="1:18" x14ac:dyDescent="0.35">
      <c r="A99" t="s">
        <v>176</v>
      </c>
      <c r="B99" s="2">
        <v>46067</v>
      </c>
      <c r="C99" t="s">
        <v>24</v>
      </c>
      <c r="D99" t="s">
        <v>33</v>
      </c>
      <c r="E99" t="s">
        <v>77</v>
      </c>
      <c r="F99" t="s">
        <v>18</v>
      </c>
      <c r="G99" t="s">
        <v>78</v>
      </c>
      <c r="H99" t="s">
        <v>37</v>
      </c>
      <c r="I99">
        <v>3</v>
      </c>
      <c r="J99" s="3">
        <v>336100</v>
      </c>
      <c r="K99" s="4">
        <v>0.15</v>
      </c>
      <c r="L99" s="3">
        <v>317400</v>
      </c>
      <c r="M99" t="s">
        <v>29</v>
      </c>
      <c r="N99" t="s">
        <v>38</v>
      </c>
      <c r="O99" t="str">
        <f t="shared" si="4"/>
        <v>No</v>
      </c>
      <c r="P99" t="str">
        <f t="shared" si="5"/>
        <v>No</v>
      </c>
      <c r="Q99" t="str">
        <f t="shared" si="6"/>
        <v>No</v>
      </c>
      <c r="R99" t="str">
        <f t="shared" si="7"/>
        <v>Normal</v>
      </c>
    </row>
    <row r="100" spans="1:18" x14ac:dyDescent="0.35">
      <c r="A100" t="s">
        <v>177</v>
      </c>
      <c r="B100" s="2">
        <v>46228</v>
      </c>
      <c r="C100" t="s">
        <v>89</v>
      </c>
      <c r="D100" t="s">
        <v>33</v>
      </c>
      <c r="E100" t="s">
        <v>71</v>
      </c>
      <c r="F100" t="s">
        <v>27</v>
      </c>
      <c r="G100" t="s">
        <v>53</v>
      </c>
      <c r="H100" t="s">
        <v>37</v>
      </c>
      <c r="I100">
        <v>8</v>
      </c>
      <c r="J100" s="3">
        <v>785300</v>
      </c>
      <c r="K100" s="4">
        <v>0.1</v>
      </c>
      <c r="L100" s="3">
        <v>353300</v>
      </c>
      <c r="M100" t="s">
        <v>21</v>
      </c>
      <c r="N100" t="s">
        <v>38</v>
      </c>
      <c r="O100" t="str">
        <f t="shared" si="4"/>
        <v>No</v>
      </c>
      <c r="P100" t="str">
        <f t="shared" si="5"/>
        <v>No</v>
      </c>
      <c r="Q100" t="str">
        <f t="shared" si="6"/>
        <v>No</v>
      </c>
      <c r="R100" t="str">
        <f t="shared" si="7"/>
        <v>Normal</v>
      </c>
    </row>
    <row r="101" spans="1:18" x14ac:dyDescent="0.35">
      <c r="A101" t="s">
        <v>178</v>
      </c>
      <c r="B101" s="2">
        <v>46090</v>
      </c>
      <c r="C101" t="s">
        <v>32</v>
      </c>
      <c r="D101" t="s">
        <v>25</v>
      </c>
      <c r="E101" t="s">
        <v>66</v>
      </c>
      <c r="F101" t="s">
        <v>68</v>
      </c>
      <c r="G101" t="s">
        <v>43</v>
      </c>
      <c r="H101" t="s">
        <v>44</v>
      </c>
      <c r="I101">
        <v>9</v>
      </c>
      <c r="J101" s="3">
        <v>314600</v>
      </c>
      <c r="K101" s="4">
        <v>0.05</v>
      </c>
      <c r="L101" s="3">
        <v>376700</v>
      </c>
      <c r="M101" t="s">
        <v>21</v>
      </c>
      <c r="N101" t="s">
        <v>38</v>
      </c>
      <c r="O101" t="str">
        <f t="shared" si="4"/>
        <v>No</v>
      </c>
      <c r="P101" t="str">
        <f t="shared" si="5"/>
        <v>No</v>
      </c>
      <c r="Q101" t="str">
        <f t="shared" si="6"/>
        <v>No</v>
      </c>
      <c r="R101" t="str">
        <f t="shared" si="7"/>
        <v>Normal</v>
      </c>
    </row>
    <row r="102" spans="1:18" x14ac:dyDescent="0.35">
      <c r="A102" t="s">
        <v>179</v>
      </c>
      <c r="B102" s="2">
        <v>46106</v>
      </c>
      <c r="C102" t="s">
        <v>60</v>
      </c>
      <c r="D102" t="s">
        <v>48</v>
      </c>
      <c r="E102" t="s">
        <v>104</v>
      </c>
      <c r="F102" t="s">
        <v>18</v>
      </c>
      <c r="G102" t="s">
        <v>36</v>
      </c>
      <c r="H102" t="s">
        <v>37</v>
      </c>
      <c r="I102">
        <v>8</v>
      </c>
      <c r="J102" s="3">
        <v>103800</v>
      </c>
      <c r="K102" s="4">
        <v>0.2</v>
      </c>
      <c r="L102" s="3">
        <v>176100</v>
      </c>
      <c r="M102" t="s">
        <v>29</v>
      </c>
      <c r="N102" t="s">
        <v>38</v>
      </c>
      <c r="O102" t="str">
        <f t="shared" si="4"/>
        <v>Yes</v>
      </c>
      <c r="P102" t="str">
        <f t="shared" si="5"/>
        <v>No</v>
      </c>
      <c r="Q102" t="str">
        <f t="shared" si="6"/>
        <v>No</v>
      </c>
      <c r="R102" t="str">
        <f t="shared" si="7"/>
        <v>Priority</v>
      </c>
    </row>
    <row r="103" spans="1:18" x14ac:dyDescent="0.35">
      <c r="A103" t="s">
        <v>180</v>
      </c>
      <c r="B103" s="2">
        <v>46052</v>
      </c>
      <c r="C103" t="s">
        <v>99</v>
      </c>
      <c r="D103" t="s">
        <v>33</v>
      </c>
      <c r="E103" t="s">
        <v>77</v>
      </c>
      <c r="F103" t="s">
        <v>18</v>
      </c>
      <c r="G103" t="s">
        <v>102</v>
      </c>
      <c r="H103" t="s">
        <v>20</v>
      </c>
      <c r="I103">
        <v>1</v>
      </c>
      <c r="J103" s="3">
        <v>24000</v>
      </c>
      <c r="K103" s="4">
        <v>0.15</v>
      </c>
      <c r="L103" s="3">
        <v>8000</v>
      </c>
      <c r="M103" t="s">
        <v>21</v>
      </c>
      <c r="N103" t="s">
        <v>38</v>
      </c>
      <c r="O103" t="str">
        <f t="shared" si="4"/>
        <v>No</v>
      </c>
      <c r="P103" t="str">
        <f t="shared" si="5"/>
        <v>No</v>
      </c>
      <c r="Q103" t="str">
        <f t="shared" si="6"/>
        <v>No</v>
      </c>
      <c r="R103" t="str">
        <f t="shared" si="7"/>
        <v>Normal</v>
      </c>
    </row>
    <row r="104" spans="1:18" x14ac:dyDescent="0.35">
      <c r="A104" t="s">
        <v>181</v>
      </c>
      <c r="B104" s="2">
        <v>46249</v>
      </c>
      <c r="C104" t="s">
        <v>89</v>
      </c>
      <c r="D104" t="s">
        <v>25</v>
      </c>
      <c r="E104" t="s">
        <v>100</v>
      </c>
      <c r="F104" t="s">
        <v>42</v>
      </c>
      <c r="G104" t="s">
        <v>78</v>
      </c>
      <c r="H104" t="s">
        <v>37</v>
      </c>
      <c r="I104">
        <v>9</v>
      </c>
      <c r="J104" s="3">
        <v>467700</v>
      </c>
      <c r="K104" s="4">
        <v>0.1</v>
      </c>
      <c r="L104" s="3">
        <v>464900</v>
      </c>
      <c r="M104" t="s">
        <v>64</v>
      </c>
      <c r="N104" t="s">
        <v>38</v>
      </c>
      <c r="O104" t="str">
        <f t="shared" si="4"/>
        <v>No</v>
      </c>
      <c r="P104" t="str">
        <f t="shared" si="5"/>
        <v>No</v>
      </c>
      <c r="Q104" t="str">
        <f t="shared" si="6"/>
        <v>Yes</v>
      </c>
      <c r="R104" t="str">
        <f t="shared" si="7"/>
        <v>Normal</v>
      </c>
    </row>
    <row r="105" spans="1:18" x14ac:dyDescent="0.35">
      <c r="A105" t="s">
        <v>182</v>
      </c>
      <c r="B105" s="2">
        <v>46048</v>
      </c>
      <c r="C105" t="s">
        <v>82</v>
      </c>
      <c r="D105" t="s">
        <v>48</v>
      </c>
      <c r="E105" t="s">
        <v>104</v>
      </c>
      <c r="F105" t="s">
        <v>18</v>
      </c>
      <c r="G105" t="s">
        <v>78</v>
      </c>
      <c r="H105" t="s">
        <v>37</v>
      </c>
      <c r="I105">
        <v>4</v>
      </c>
      <c r="J105" s="3">
        <v>477400</v>
      </c>
      <c r="K105" s="4">
        <v>0.1</v>
      </c>
      <c r="L105" s="3">
        <v>533700</v>
      </c>
      <c r="M105" t="s">
        <v>45</v>
      </c>
      <c r="N105" t="s">
        <v>38</v>
      </c>
      <c r="O105" t="str">
        <f t="shared" si="4"/>
        <v>Yes</v>
      </c>
      <c r="P105" t="str">
        <f t="shared" si="5"/>
        <v>No</v>
      </c>
      <c r="Q105" t="str">
        <f t="shared" si="6"/>
        <v>Yes</v>
      </c>
      <c r="R105" t="str">
        <f t="shared" si="7"/>
        <v>Priority</v>
      </c>
    </row>
    <row r="106" spans="1:18" x14ac:dyDescent="0.35">
      <c r="A106" t="s">
        <v>183</v>
      </c>
      <c r="B106" s="2">
        <v>46192</v>
      </c>
      <c r="C106" t="s">
        <v>70</v>
      </c>
      <c r="D106" t="s">
        <v>16</v>
      </c>
      <c r="E106" t="s">
        <v>87</v>
      </c>
      <c r="F106" t="s">
        <v>35</v>
      </c>
      <c r="G106" t="s">
        <v>36</v>
      </c>
      <c r="H106" t="s">
        <v>37</v>
      </c>
      <c r="I106">
        <v>2</v>
      </c>
      <c r="J106" s="3">
        <v>242400</v>
      </c>
      <c r="K106" s="4">
        <v>0.05</v>
      </c>
      <c r="L106" s="3">
        <v>168900</v>
      </c>
      <c r="M106" t="s">
        <v>29</v>
      </c>
      <c r="N106" t="s">
        <v>38</v>
      </c>
      <c r="O106" t="str">
        <f t="shared" si="4"/>
        <v>No</v>
      </c>
      <c r="P106" t="str">
        <f t="shared" si="5"/>
        <v>No</v>
      </c>
      <c r="Q106" t="str">
        <f t="shared" si="6"/>
        <v>No</v>
      </c>
      <c r="R106" t="str">
        <f t="shared" si="7"/>
        <v>Normal</v>
      </c>
    </row>
    <row r="107" spans="1:18" x14ac:dyDescent="0.35">
      <c r="A107" t="s">
        <v>184</v>
      </c>
      <c r="B107" s="2">
        <v>46076</v>
      </c>
      <c r="C107" t="s">
        <v>74</v>
      </c>
      <c r="D107" t="s">
        <v>16</v>
      </c>
      <c r="E107" t="s">
        <v>17</v>
      </c>
      <c r="F107" t="s">
        <v>35</v>
      </c>
      <c r="G107" t="s">
        <v>36</v>
      </c>
      <c r="H107" t="s">
        <v>37</v>
      </c>
      <c r="I107">
        <v>3</v>
      </c>
      <c r="J107" s="3">
        <v>218000</v>
      </c>
      <c r="K107" s="4">
        <v>0.2</v>
      </c>
      <c r="L107" s="3">
        <v>94600</v>
      </c>
      <c r="M107" t="s">
        <v>29</v>
      </c>
      <c r="N107" t="s">
        <v>22</v>
      </c>
      <c r="O107" t="str">
        <f t="shared" si="4"/>
        <v>No</v>
      </c>
      <c r="P107" t="str">
        <f t="shared" si="5"/>
        <v>No</v>
      </c>
      <c r="Q107" t="str">
        <f t="shared" si="6"/>
        <v>No</v>
      </c>
      <c r="R107" t="str">
        <f t="shared" si="7"/>
        <v>Normal</v>
      </c>
    </row>
    <row r="108" spans="1:18" x14ac:dyDescent="0.35">
      <c r="A108" t="s">
        <v>185</v>
      </c>
      <c r="B108" s="2">
        <v>46161</v>
      </c>
      <c r="C108" t="s">
        <v>57</v>
      </c>
      <c r="D108" t="s">
        <v>33</v>
      </c>
      <c r="E108" t="s">
        <v>52</v>
      </c>
      <c r="F108" t="s">
        <v>58</v>
      </c>
      <c r="G108" t="s">
        <v>19</v>
      </c>
      <c r="H108" t="s">
        <v>20</v>
      </c>
      <c r="I108">
        <v>5</v>
      </c>
      <c r="J108" s="3">
        <v>83600</v>
      </c>
      <c r="K108" s="4">
        <v>0.1</v>
      </c>
      <c r="L108" s="3">
        <v>30800</v>
      </c>
      <c r="M108" t="s">
        <v>45</v>
      </c>
      <c r="N108" t="s">
        <v>22</v>
      </c>
      <c r="O108" t="str">
        <f t="shared" si="4"/>
        <v>No</v>
      </c>
      <c r="P108" t="str">
        <f t="shared" si="5"/>
        <v>No</v>
      </c>
      <c r="Q108" t="str">
        <f t="shared" si="6"/>
        <v>Yes</v>
      </c>
      <c r="R108" t="str">
        <f t="shared" si="7"/>
        <v>Normal</v>
      </c>
    </row>
    <row r="109" spans="1:18" x14ac:dyDescent="0.35">
      <c r="A109" t="s">
        <v>186</v>
      </c>
      <c r="B109" s="2">
        <v>46036</v>
      </c>
      <c r="C109" t="s">
        <v>62</v>
      </c>
      <c r="D109" t="s">
        <v>16</v>
      </c>
      <c r="E109" t="s">
        <v>41</v>
      </c>
      <c r="F109" t="s">
        <v>18</v>
      </c>
      <c r="G109" t="s">
        <v>78</v>
      </c>
      <c r="H109" t="s">
        <v>37</v>
      </c>
      <c r="I109">
        <v>4</v>
      </c>
      <c r="J109" s="3">
        <v>535500</v>
      </c>
      <c r="K109" s="4">
        <v>0.1</v>
      </c>
      <c r="L109" s="3">
        <v>225200</v>
      </c>
      <c r="M109" t="s">
        <v>29</v>
      </c>
      <c r="N109" t="s">
        <v>22</v>
      </c>
      <c r="O109" t="str">
        <f t="shared" si="4"/>
        <v>No</v>
      </c>
      <c r="P109" t="str">
        <f t="shared" si="5"/>
        <v>No</v>
      </c>
      <c r="Q109" t="str">
        <f t="shared" si="6"/>
        <v>No</v>
      </c>
      <c r="R109" t="str">
        <f t="shared" si="7"/>
        <v>Normal</v>
      </c>
    </row>
    <row r="110" spans="1:18" x14ac:dyDescent="0.35">
      <c r="A110" t="s">
        <v>187</v>
      </c>
      <c r="B110" s="2">
        <v>46079</v>
      </c>
      <c r="C110" t="s">
        <v>108</v>
      </c>
      <c r="D110" t="s">
        <v>16</v>
      </c>
      <c r="E110" t="s">
        <v>17</v>
      </c>
      <c r="F110" t="s">
        <v>42</v>
      </c>
      <c r="G110" t="s">
        <v>72</v>
      </c>
      <c r="H110" t="s">
        <v>44</v>
      </c>
      <c r="I110">
        <v>6</v>
      </c>
      <c r="J110" s="3">
        <v>289400</v>
      </c>
      <c r="K110" s="4">
        <v>0.2</v>
      </c>
      <c r="L110" s="3">
        <v>109400</v>
      </c>
      <c r="M110" t="s">
        <v>21</v>
      </c>
      <c r="N110" t="s">
        <v>22</v>
      </c>
      <c r="O110" t="str">
        <f t="shared" si="4"/>
        <v>No</v>
      </c>
      <c r="P110" t="str">
        <f t="shared" si="5"/>
        <v>No</v>
      </c>
      <c r="Q110" t="str">
        <f t="shared" si="6"/>
        <v>No</v>
      </c>
      <c r="R110" t="str">
        <f t="shared" si="7"/>
        <v>Normal</v>
      </c>
    </row>
    <row r="111" spans="1:18" x14ac:dyDescent="0.35">
      <c r="A111" t="s">
        <v>188</v>
      </c>
      <c r="B111" s="2">
        <v>46198</v>
      </c>
      <c r="C111" t="s">
        <v>108</v>
      </c>
      <c r="D111" t="s">
        <v>33</v>
      </c>
      <c r="E111" t="s">
        <v>77</v>
      </c>
      <c r="F111" t="s">
        <v>68</v>
      </c>
      <c r="G111" t="s">
        <v>19</v>
      </c>
      <c r="H111" t="s">
        <v>20</v>
      </c>
      <c r="I111">
        <v>1</v>
      </c>
      <c r="J111" s="3">
        <v>89900</v>
      </c>
      <c r="K111" s="4">
        <v>0.15</v>
      </c>
      <c r="L111" s="3">
        <v>58900</v>
      </c>
      <c r="M111" t="s">
        <v>21</v>
      </c>
      <c r="N111" t="s">
        <v>38</v>
      </c>
      <c r="O111" t="str">
        <f t="shared" si="4"/>
        <v>No</v>
      </c>
      <c r="P111" t="str">
        <f t="shared" si="5"/>
        <v>No</v>
      </c>
      <c r="Q111" t="str">
        <f t="shared" si="6"/>
        <v>No</v>
      </c>
      <c r="R111" t="str">
        <f t="shared" si="7"/>
        <v>Normal</v>
      </c>
    </row>
    <row r="112" spans="1:18" x14ac:dyDescent="0.35">
      <c r="A112" t="s">
        <v>189</v>
      </c>
      <c r="B112" s="2">
        <v>46163</v>
      </c>
      <c r="C112" t="s">
        <v>99</v>
      </c>
      <c r="D112" t="s">
        <v>16</v>
      </c>
      <c r="E112" t="s">
        <v>17</v>
      </c>
      <c r="F112" t="s">
        <v>35</v>
      </c>
      <c r="G112" t="s">
        <v>102</v>
      </c>
      <c r="H112" t="s">
        <v>20</v>
      </c>
      <c r="I112">
        <v>2</v>
      </c>
      <c r="J112" s="3">
        <v>9300</v>
      </c>
      <c r="K112" s="4">
        <v>0.2</v>
      </c>
      <c r="L112" s="3">
        <v>12100</v>
      </c>
      <c r="M112" t="s">
        <v>45</v>
      </c>
      <c r="N112" t="s">
        <v>38</v>
      </c>
      <c r="O112" t="str">
        <f t="shared" si="4"/>
        <v>No</v>
      </c>
      <c r="P112" t="str">
        <f t="shared" si="5"/>
        <v>No</v>
      </c>
      <c r="Q112" t="str">
        <f t="shared" si="6"/>
        <v>Yes</v>
      </c>
      <c r="R112" t="str">
        <f t="shared" si="7"/>
        <v>Normal</v>
      </c>
    </row>
    <row r="113" spans="1:18" x14ac:dyDescent="0.35">
      <c r="A113" t="s">
        <v>190</v>
      </c>
      <c r="B113" s="2">
        <v>46207</v>
      </c>
      <c r="C113" t="s">
        <v>74</v>
      </c>
      <c r="D113" t="s">
        <v>33</v>
      </c>
      <c r="E113" t="s">
        <v>77</v>
      </c>
      <c r="F113" t="s">
        <v>58</v>
      </c>
      <c r="G113" t="s">
        <v>43</v>
      </c>
      <c r="H113" t="s">
        <v>44</v>
      </c>
      <c r="I113">
        <v>2</v>
      </c>
      <c r="J113" s="3">
        <v>506900</v>
      </c>
      <c r="K113" s="4">
        <v>0.2</v>
      </c>
      <c r="L113" s="3">
        <v>140000</v>
      </c>
      <c r="M113" t="s">
        <v>29</v>
      </c>
      <c r="N113" t="s">
        <v>38</v>
      </c>
      <c r="O113" t="str">
        <f t="shared" si="4"/>
        <v>No</v>
      </c>
      <c r="P113" t="str">
        <f t="shared" si="5"/>
        <v>No</v>
      </c>
      <c r="Q113" t="str">
        <f t="shared" si="6"/>
        <v>No</v>
      </c>
      <c r="R113" t="str">
        <f t="shared" si="7"/>
        <v>Normal</v>
      </c>
    </row>
    <row r="114" spans="1:18" x14ac:dyDescent="0.35">
      <c r="A114" t="s">
        <v>191</v>
      </c>
      <c r="B114" s="2">
        <v>46193</v>
      </c>
      <c r="C114" t="s">
        <v>57</v>
      </c>
      <c r="D114" t="s">
        <v>48</v>
      </c>
      <c r="E114" t="s">
        <v>104</v>
      </c>
      <c r="F114" t="s">
        <v>42</v>
      </c>
      <c r="G114" t="s">
        <v>43</v>
      </c>
      <c r="H114" t="s">
        <v>44</v>
      </c>
      <c r="I114">
        <v>7</v>
      </c>
      <c r="J114" s="3">
        <v>478300</v>
      </c>
      <c r="K114" s="4">
        <v>0.1</v>
      </c>
      <c r="L114" s="3">
        <v>209400</v>
      </c>
      <c r="M114" t="s">
        <v>45</v>
      </c>
      <c r="N114" t="s">
        <v>38</v>
      </c>
      <c r="O114" t="str">
        <f t="shared" si="4"/>
        <v>Yes</v>
      </c>
      <c r="P114" t="str">
        <f t="shared" si="5"/>
        <v>No</v>
      </c>
      <c r="Q114" t="str">
        <f t="shared" si="6"/>
        <v>Yes</v>
      </c>
      <c r="R114" t="str">
        <f t="shared" si="7"/>
        <v>Priority</v>
      </c>
    </row>
    <row r="115" spans="1:18" x14ac:dyDescent="0.35">
      <c r="A115" t="s">
        <v>192</v>
      </c>
      <c r="B115" s="2">
        <v>46230</v>
      </c>
      <c r="C115" t="s">
        <v>47</v>
      </c>
      <c r="D115" t="s">
        <v>48</v>
      </c>
      <c r="E115" t="s">
        <v>49</v>
      </c>
      <c r="F115" t="s">
        <v>18</v>
      </c>
      <c r="G115" t="s">
        <v>28</v>
      </c>
      <c r="H115" t="s">
        <v>20</v>
      </c>
      <c r="I115">
        <v>2</v>
      </c>
      <c r="J115" s="3">
        <v>25100</v>
      </c>
      <c r="K115" s="4">
        <v>0.1</v>
      </c>
      <c r="L115" s="3">
        <v>24000</v>
      </c>
      <c r="M115" t="s">
        <v>29</v>
      </c>
      <c r="N115" t="s">
        <v>38</v>
      </c>
      <c r="O115" t="str">
        <f t="shared" si="4"/>
        <v>Yes</v>
      </c>
      <c r="P115" t="str">
        <f t="shared" si="5"/>
        <v>No</v>
      </c>
      <c r="Q115" t="str">
        <f t="shared" si="6"/>
        <v>No</v>
      </c>
      <c r="R115" t="str">
        <f t="shared" si="7"/>
        <v>Priority</v>
      </c>
    </row>
    <row r="116" spans="1:18" x14ac:dyDescent="0.35">
      <c r="A116" t="s">
        <v>193</v>
      </c>
      <c r="B116" s="2">
        <v>46176</v>
      </c>
      <c r="C116" t="s">
        <v>95</v>
      </c>
      <c r="D116" t="s">
        <v>33</v>
      </c>
      <c r="E116" t="s">
        <v>34</v>
      </c>
      <c r="F116" t="s">
        <v>42</v>
      </c>
      <c r="G116" t="s">
        <v>78</v>
      </c>
      <c r="H116" t="s">
        <v>37</v>
      </c>
      <c r="I116">
        <v>7</v>
      </c>
      <c r="J116" s="3">
        <v>647200</v>
      </c>
      <c r="K116" s="4">
        <v>0.1</v>
      </c>
      <c r="L116" s="3">
        <v>458000</v>
      </c>
      <c r="M116" t="s">
        <v>45</v>
      </c>
      <c r="N116" t="s">
        <v>38</v>
      </c>
      <c r="O116" t="str">
        <f t="shared" si="4"/>
        <v>No</v>
      </c>
      <c r="P116" t="str">
        <f t="shared" si="5"/>
        <v>No</v>
      </c>
      <c r="Q116" t="str">
        <f t="shared" si="6"/>
        <v>Yes</v>
      </c>
      <c r="R116" t="str">
        <f t="shared" si="7"/>
        <v>Normal</v>
      </c>
    </row>
    <row r="117" spans="1:18" x14ac:dyDescent="0.35">
      <c r="A117" t="s">
        <v>194</v>
      </c>
      <c r="B117" s="2">
        <v>46117</v>
      </c>
      <c r="C117" t="s">
        <v>95</v>
      </c>
      <c r="D117" t="s">
        <v>25</v>
      </c>
      <c r="E117" t="s">
        <v>66</v>
      </c>
      <c r="F117" t="s">
        <v>68</v>
      </c>
      <c r="G117" t="s">
        <v>72</v>
      </c>
      <c r="H117" t="s">
        <v>44</v>
      </c>
      <c r="I117">
        <v>4</v>
      </c>
      <c r="J117" s="3">
        <v>399600</v>
      </c>
      <c r="K117" s="4">
        <v>0.2</v>
      </c>
      <c r="L117" s="3">
        <v>174500</v>
      </c>
      <c r="M117" t="s">
        <v>21</v>
      </c>
      <c r="N117" t="s">
        <v>22</v>
      </c>
      <c r="O117" t="str">
        <f t="shared" si="4"/>
        <v>No</v>
      </c>
      <c r="P117" t="str">
        <f t="shared" si="5"/>
        <v>No</v>
      </c>
      <c r="Q117" t="str">
        <f t="shared" si="6"/>
        <v>No</v>
      </c>
      <c r="R117" t="str">
        <f t="shared" si="7"/>
        <v>Normal</v>
      </c>
    </row>
    <row r="118" spans="1:18" x14ac:dyDescent="0.35">
      <c r="A118" t="s">
        <v>195</v>
      </c>
      <c r="B118" s="2">
        <v>46030</v>
      </c>
      <c r="C118" t="s">
        <v>95</v>
      </c>
      <c r="D118" t="s">
        <v>25</v>
      </c>
      <c r="E118" t="s">
        <v>100</v>
      </c>
      <c r="F118" t="s">
        <v>58</v>
      </c>
      <c r="G118" t="s">
        <v>19</v>
      </c>
      <c r="H118" t="s">
        <v>20</v>
      </c>
      <c r="I118">
        <v>10</v>
      </c>
      <c r="J118" s="3">
        <v>86800</v>
      </c>
      <c r="K118" s="4">
        <v>0.1</v>
      </c>
      <c r="L118" s="3">
        <v>58200</v>
      </c>
      <c r="M118" t="s">
        <v>29</v>
      </c>
      <c r="N118" t="s">
        <v>38</v>
      </c>
      <c r="O118" t="str">
        <f t="shared" si="4"/>
        <v>No</v>
      </c>
      <c r="P118" t="str">
        <f t="shared" si="5"/>
        <v>Yes</v>
      </c>
      <c r="Q118" t="str">
        <f t="shared" si="6"/>
        <v>No</v>
      </c>
      <c r="R118" t="str">
        <f t="shared" si="7"/>
        <v>Normal</v>
      </c>
    </row>
    <row r="119" spans="1:18" x14ac:dyDescent="0.35">
      <c r="A119" t="s">
        <v>196</v>
      </c>
      <c r="B119" s="2">
        <v>46212</v>
      </c>
      <c r="C119" t="s">
        <v>106</v>
      </c>
      <c r="D119" t="s">
        <v>33</v>
      </c>
      <c r="E119" t="s">
        <v>71</v>
      </c>
      <c r="F119" t="s">
        <v>18</v>
      </c>
      <c r="G119" t="s">
        <v>102</v>
      </c>
      <c r="H119" t="s">
        <v>20</v>
      </c>
      <c r="I119">
        <v>3</v>
      </c>
      <c r="J119" s="3">
        <v>17200</v>
      </c>
      <c r="K119" s="4">
        <v>0.1</v>
      </c>
      <c r="L119" s="3">
        <v>9200</v>
      </c>
      <c r="M119" t="s">
        <v>21</v>
      </c>
      <c r="N119" t="s">
        <v>38</v>
      </c>
      <c r="O119" t="str">
        <f t="shared" si="4"/>
        <v>No</v>
      </c>
      <c r="P119" t="str">
        <f t="shared" si="5"/>
        <v>No</v>
      </c>
      <c r="Q119" t="str">
        <f t="shared" si="6"/>
        <v>No</v>
      </c>
      <c r="R119" t="str">
        <f t="shared" si="7"/>
        <v>Normal</v>
      </c>
    </row>
    <row r="120" spans="1:18" x14ac:dyDescent="0.35">
      <c r="A120" t="s">
        <v>197</v>
      </c>
      <c r="B120" s="2">
        <v>46221</v>
      </c>
      <c r="C120" t="s">
        <v>108</v>
      </c>
      <c r="D120" t="s">
        <v>25</v>
      </c>
      <c r="E120" t="s">
        <v>100</v>
      </c>
      <c r="F120" t="s">
        <v>42</v>
      </c>
      <c r="G120" t="s">
        <v>72</v>
      </c>
      <c r="H120" t="s">
        <v>44</v>
      </c>
      <c r="I120">
        <v>6</v>
      </c>
      <c r="J120" s="3">
        <v>171900</v>
      </c>
      <c r="K120" s="4">
        <v>0.1</v>
      </c>
      <c r="L120" s="3">
        <v>164100</v>
      </c>
      <c r="M120" t="s">
        <v>21</v>
      </c>
      <c r="N120" t="s">
        <v>22</v>
      </c>
      <c r="O120" t="str">
        <f t="shared" si="4"/>
        <v>No</v>
      </c>
      <c r="P120" t="str">
        <f t="shared" si="5"/>
        <v>No</v>
      </c>
      <c r="Q120" t="str">
        <f t="shared" si="6"/>
        <v>No</v>
      </c>
      <c r="R120" t="str">
        <f t="shared" si="7"/>
        <v>Normal</v>
      </c>
    </row>
    <row r="121" spans="1:18" x14ac:dyDescent="0.35">
      <c r="A121" t="s">
        <v>198</v>
      </c>
      <c r="B121" s="2">
        <v>46136</v>
      </c>
      <c r="C121" t="s">
        <v>47</v>
      </c>
      <c r="D121" t="s">
        <v>25</v>
      </c>
      <c r="E121" t="s">
        <v>26</v>
      </c>
      <c r="F121" t="s">
        <v>68</v>
      </c>
      <c r="G121" t="s">
        <v>28</v>
      </c>
      <c r="H121" t="s">
        <v>20</v>
      </c>
      <c r="I121">
        <v>5</v>
      </c>
      <c r="J121" s="3">
        <v>25500</v>
      </c>
      <c r="K121" s="4">
        <v>0.2</v>
      </c>
      <c r="L121" s="3">
        <v>16500</v>
      </c>
      <c r="M121" t="s">
        <v>64</v>
      </c>
      <c r="N121" t="s">
        <v>38</v>
      </c>
      <c r="O121" t="str">
        <f t="shared" si="4"/>
        <v>No</v>
      </c>
      <c r="P121" t="str">
        <f t="shared" si="5"/>
        <v>No</v>
      </c>
      <c r="Q121" t="str">
        <f t="shared" si="6"/>
        <v>Yes</v>
      </c>
      <c r="R121" t="str">
        <f t="shared" si="7"/>
        <v>Normal</v>
      </c>
    </row>
    <row r="122" spans="1:18" x14ac:dyDescent="0.35">
      <c r="A122" t="s">
        <v>199</v>
      </c>
      <c r="B122" s="2">
        <v>46193</v>
      </c>
      <c r="C122" t="s">
        <v>108</v>
      </c>
      <c r="D122" t="s">
        <v>16</v>
      </c>
      <c r="E122" t="s">
        <v>63</v>
      </c>
      <c r="F122" t="s">
        <v>42</v>
      </c>
      <c r="G122" t="s">
        <v>28</v>
      </c>
      <c r="H122" t="s">
        <v>20</v>
      </c>
      <c r="I122">
        <v>5</v>
      </c>
      <c r="J122" s="3">
        <v>33700</v>
      </c>
      <c r="K122" s="4">
        <v>0.2</v>
      </c>
      <c r="L122" s="3">
        <v>20400</v>
      </c>
      <c r="M122" t="s">
        <v>45</v>
      </c>
      <c r="N122" t="s">
        <v>38</v>
      </c>
      <c r="O122" t="str">
        <f t="shared" si="4"/>
        <v>No</v>
      </c>
      <c r="P122" t="str">
        <f t="shared" si="5"/>
        <v>No</v>
      </c>
      <c r="Q122" t="str">
        <f t="shared" si="6"/>
        <v>Yes</v>
      </c>
      <c r="R122" t="str">
        <f t="shared" si="7"/>
        <v>Normal</v>
      </c>
    </row>
    <row r="123" spans="1:18" x14ac:dyDescent="0.35">
      <c r="A123" t="s">
        <v>200</v>
      </c>
      <c r="B123" s="2">
        <v>46106</v>
      </c>
      <c r="C123" t="s">
        <v>76</v>
      </c>
      <c r="D123" t="s">
        <v>16</v>
      </c>
      <c r="E123" t="s">
        <v>17</v>
      </c>
      <c r="F123" t="s">
        <v>27</v>
      </c>
      <c r="G123" t="s">
        <v>53</v>
      </c>
      <c r="H123" t="s">
        <v>37</v>
      </c>
      <c r="I123">
        <v>4</v>
      </c>
      <c r="J123" s="3">
        <v>695300</v>
      </c>
      <c r="K123" s="4">
        <v>0.1</v>
      </c>
      <c r="L123" s="3">
        <v>517500</v>
      </c>
      <c r="M123" t="s">
        <v>21</v>
      </c>
      <c r="N123" t="s">
        <v>38</v>
      </c>
      <c r="O123" t="str">
        <f t="shared" si="4"/>
        <v>No</v>
      </c>
      <c r="P123" t="str">
        <f t="shared" si="5"/>
        <v>No</v>
      </c>
      <c r="Q123" t="str">
        <f t="shared" si="6"/>
        <v>No</v>
      </c>
      <c r="R123" t="str">
        <f t="shared" si="7"/>
        <v>Normal</v>
      </c>
    </row>
    <row r="124" spans="1:18" x14ac:dyDescent="0.35">
      <c r="A124" t="s">
        <v>201</v>
      </c>
      <c r="B124" s="2">
        <v>46041</v>
      </c>
      <c r="C124" t="s">
        <v>86</v>
      </c>
      <c r="D124" t="s">
        <v>25</v>
      </c>
      <c r="E124" t="s">
        <v>66</v>
      </c>
      <c r="F124" t="s">
        <v>42</v>
      </c>
      <c r="G124" t="s">
        <v>36</v>
      </c>
      <c r="H124" t="s">
        <v>37</v>
      </c>
      <c r="I124">
        <v>9</v>
      </c>
      <c r="J124" s="3">
        <v>183800</v>
      </c>
      <c r="K124" s="4">
        <v>0.1</v>
      </c>
      <c r="L124" s="3">
        <v>150200</v>
      </c>
      <c r="M124" t="s">
        <v>64</v>
      </c>
      <c r="N124" t="s">
        <v>22</v>
      </c>
      <c r="O124" t="str">
        <f t="shared" si="4"/>
        <v>No</v>
      </c>
      <c r="P124" t="str">
        <f t="shared" si="5"/>
        <v>No</v>
      </c>
      <c r="Q124" t="str">
        <f t="shared" si="6"/>
        <v>Yes</v>
      </c>
      <c r="R124" t="str">
        <f t="shared" si="7"/>
        <v>Normal</v>
      </c>
    </row>
    <row r="125" spans="1:18" x14ac:dyDescent="0.35">
      <c r="A125" t="s">
        <v>202</v>
      </c>
      <c r="B125" s="2">
        <v>46097</v>
      </c>
      <c r="C125" t="s">
        <v>24</v>
      </c>
      <c r="D125" t="s">
        <v>48</v>
      </c>
      <c r="E125" t="s">
        <v>49</v>
      </c>
      <c r="F125" t="s">
        <v>42</v>
      </c>
      <c r="G125" t="s">
        <v>28</v>
      </c>
      <c r="H125" t="s">
        <v>20</v>
      </c>
      <c r="I125">
        <v>6</v>
      </c>
      <c r="J125" s="3">
        <v>30200</v>
      </c>
      <c r="K125" s="4">
        <v>0.15</v>
      </c>
      <c r="L125" s="3">
        <v>20000</v>
      </c>
      <c r="M125" t="s">
        <v>21</v>
      </c>
      <c r="N125" t="s">
        <v>38</v>
      </c>
      <c r="O125" t="str">
        <f t="shared" si="4"/>
        <v>Yes</v>
      </c>
      <c r="P125" t="str">
        <f t="shared" si="5"/>
        <v>No</v>
      </c>
      <c r="Q125" t="str">
        <f t="shared" si="6"/>
        <v>No</v>
      </c>
      <c r="R125" t="str">
        <f t="shared" si="7"/>
        <v>Priority</v>
      </c>
    </row>
    <row r="126" spans="1:18" x14ac:dyDescent="0.35">
      <c r="A126" t="s">
        <v>203</v>
      </c>
      <c r="B126" s="2">
        <v>46173</v>
      </c>
      <c r="C126" t="s">
        <v>124</v>
      </c>
      <c r="D126" t="s">
        <v>25</v>
      </c>
      <c r="E126" t="s">
        <v>100</v>
      </c>
      <c r="F126" t="s">
        <v>68</v>
      </c>
      <c r="G126" t="s">
        <v>78</v>
      </c>
      <c r="H126" t="s">
        <v>37</v>
      </c>
      <c r="I126">
        <v>2</v>
      </c>
      <c r="J126" s="3">
        <v>474700</v>
      </c>
      <c r="K126" s="4">
        <v>0.15</v>
      </c>
      <c r="L126" s="3">
        <v>254900</v>
      </c>
      <c r="M126" t="s">
        <v>64</v>
      </c>
      <c r="N126" t="s">
        <v>38</v>
      </c>
      <c r="O126" t="str">
        <f t="shared" si="4"/>
        <v>No</v>
      </c>
      <c r="P126" t="str">
        <f t="shared" si="5"/>
        <v>No</v>
      </c>
      <c r="Q126" t="str">
        <f t="shared" si="6"/>
        <v>Yes</v>
      </c>
      <c r="R126" t="str">
        <f t="shared" si="7"/>
        <v>Normal</v>
      </c>
    </row>
    <row r="127" spans="1:18" x14ac:dyDescent="0.35">
      <c r="A127" t="s">
        <v>204</v>
      </c>
      <c r="B127" s="2">
        <v>46153</v>
      </c>
      <c r="C127" t="s">
        <v>76</v>
      </c>
      <c r="D127" t="s">
        <v>33</v>
      </c>
      <c r="E127" t="s">
        <v>71</v>
      </c>
      <c r="F127" t="s">
        <v>27</v>
      </c>
      <c r="G127" t="s">
        <v>78</v>
      </c>
      <c r="H127" t="s">
        <v>37</v>
      </c>
      <c r="I127">
        <v>3</v>
      </c>
      <c r="J127" s="3">
        <v>330600</v>
      </c>
      <c r="K127" s="4">
        <v>0.2</v>
      </c>
      <c r="L127" s="3">
        <v>429000</v>
      </c>
      <c r="M127" t="s">
        <v>29</v>
      </c>
      <c r="N127" t="s">
        <v>30</v>
      </c>
      <c r="O127" t="str">
        <f t="shared" si="4"/>
        <v>No</v>
      </c>
      <c r="P127" t="str">
        <f t="shared" si="5"/>
        <v>No</v>
      </c>
      <c r="Q127" t="str">
        <f t="shared" si="6"/>
        <v>No</v>
      </c>
      <c r="R127" t="str">
        <f t="shared" si="7"/>
        <v>Normal</v>
      </c>
    </row>
    <row r="128" spans="1:18" x14ac:dyDescent="0.35">
      <c r="A128" t="s">
        <v>205</v>
      </c>
      <c r="B128" s="2">
        <v>46217</v>
      </c>
      <c r="C128" t="s">
        <v>70</v>
      </c>
      <c r="D128" t="s">
        <v>33</v>
      </c>
      <c r="E128" t="s">
        <v>52</v>
      </c>
      <c r="F128" t="s">
        <v>27</v>
      </c>
      <c r="G128" t="s">
        <v>28</v>
      </c>
      <c r="H128" t="s">
        <v>20</v>
      </c>
      <c r="I128">
        <v>3</v>
      </c>
      <c r="J128" s="3">
        <v>19000</v>
      </c>
      <c r="K128" s="4">
        <v>0.1</v>
      </c>
      <c r="L128" s="3">
        <v>10600</v>
      </c>
      <c r="M128" t="s">
        <v>21</v>
      </c>
      <c r="N128" t="s">
        <v>38</v>
      </c>
      <c r="O128" t="str">
        <f t="shared" si="4"/>
        <v>No</v>
      </c>
      <c r="P128" t="str">
        <f t="shared" si="5"/>
        <v>No</v>
      </c>
      <c r="Q128" t="str">
        <f t="shared" si="6"/>
        <v>No</v>
      </c>
      <c r="R128" t="str">
        <f t="shared" si="7"/>
        <v>Normal</v>
      </c>
    </row>
    <row r="129" spans="1:18" x14ac:dyDescent="0.35">
      <c r="A129" t="s">
        <v>206</v>
      </c>
      <c r="B129" s="2">
        <v>46184</v>
      </c>
      <c r="C129" t="s">
        <v>82</v>
      </c>
      <c r="D129" t="s">
        <v>48</v>
      </c>
      <c r="E129" t="s">
        <v>83</v>
      </c>
      <c r="F129" t="s">
        <v>68</v>
      </c>
      <c r="G129" t="s">
        <v>78</v>
      </c>
      <c r="H129" t="s">
        <v>37</v>
      </c>
      <c r="I129">
        <v>6</v>
      </c>
      <c r="J129" s="3">
        <v>360400</v>
      </c>
      <c r="K129" s="4">
        <v>0.15</v>
      </c>
      <c r="L129" s="3">
        <v>242500</v>
      </c>
      <c r="M129" t="s">
        <v>45</v>
      </c>
      <c r="N129" t="s">
        <v>22</v>
      </c>
      <c r="O129" t="str">
        <f t="shared" si="4"/>
        <v>No</v>
      </c>
      <c r="P129" t="str">
        <f t="shared" si="5"/>
        <v>No</v>
      </c>
      <c r="Q129" t="str">
        <f t="shared" si="6"/>
        <v>Yes</v>
      </c>
      <c r="R129" t="str">
        <f t="shared" si="7"/>
        <v>Normal</v>
      </c>
    </row>
    <row r="130" spans="1:18" x14ac:dyDescent="0.35">
      <c r="A130" t="s">
        <v>207</v>
      </c>
      <c r="B130" s="2">
        <v>46235</v>
      </c>
      <c r="C130" t="s">
        <v>95</v>
      </c>
      <c r="D130" t="s">
        <v>16</v>
      </c>
      <c r="E130" t="s">
        <v>63</v>
      </c>
      <c r="F130" t="s">
        <v>58</v>
      </c>
      <c r="G130" t="s">
        <v>28</v>
      </c>
      <c r="H130" t="s">
        <v>20</v>
      </c>
      <c r="I130">
        <v>5</v>
      </c>
      <c r="J130" s="3">
        <v>26200</v>
      </c>
      <c r="K130" s="4">
        <v>0.1</v>
      </c>
      <c r="L130" s="3">
        <v>7400</v>
      </c>
      <c r="M130" t="s">
        <v>45</v>
      </c>
      <c r="N130" t="s">
        <v>38</v>
      </c>
      <c r="O130" t="str">
        <f t="shared" si="4"/>
        <v>No</v>
      </c>
      <c r="P130" t="str">
        <f t="shared" si="5"/>
        <v>No</v>
      </c>
      <c r="Q130" t="str">
        <f t="shared" si="6"/>
        <v>Yes</v>
      </c>
      <c r="R130" t="str">
        <f t="shared" si="7"/>
        <v>Normal</v>
      </c>
    </row>
    <row r="131" spans="1:18" x14ac:dyDescent="0.35">
      <c r="A131" t="s">
        <v>208</v>
      </c>
      <c r="B131" s="2">
        <v>46105</v>
      </c>
      <c r="C131" t="s">
        <v>32</v>
      </c>
      <c r="D131" t="s">
        <v>48</v>
      </c>
      <c r="E131" t="s">
        <v>83</v>
      </c>
      <c r="F131" t="s">
        <v>58</v>
      </c>
      <c r="G131" t="s">
        <v>19</v>
      </c>
      <c r="H131" t="s">
        <v>20</v>
      </c>
      <c r="I131">
        <v>8</v>
      </c>
      <c r="J131" s="3">
        <v>85900</v>
      </c>
      <c r="K131" s="4">
        <v>0.1</v>
      </c>
      <c r="L131" s="3">
        <v>47900</v>
      </c>
      <c r="M131" t="s">
        <v>64</v>
      </c>
      <c r="N131" t="s">
        <v>38</v>
      </c>
      <c r="O131" t="str">
        <f t="shared" ref="O131:O194" si="8">IF(AND(D131="East", N131="Completed"), "Yes", "No")</f>
        <v>Yes</v>
      </c>
      <c r="P131" t="str">
        <f t="shared" ref="P131:P194" si="9">IF(AND(I131&gt;=10,N131="Completed"), "Yes", "No")</f>
        <v>No</v>
      </c>
      <c r="Q131" t="str">
        <f t="shared" ref="Q131:Q194" si="10">IF(OR(M131="Cash", M131="USSD"), "Yes", "No")</f>
        <v>Yes</v>
      </c>
      <c r="R131" t="str">
        <f t="shared" ref="R131:R194" si="11">IF(OR(AND(D131= "East", N131= "Completed"), M131= "Online"), "Priority", "Normal")</f>
        <v>Priority</v>
      </c>
    </row>
    <row r="132" spans="1:18" x14ac:dyDescent="0.35">
      <c r="A132" t="s">
        <v>209</v>
      </c>
      <c r="B132" s="2">
        <v>46135</v>
      </c>
      <c r="C132" t="s">
        <v>24</v>
      </c>
      <c r="D132" t="s">
        <v>48</v>
      </c>
      <c r="E132" t="s">
        <v>49</v>
      </c>
      <c r="F132" t="s">
        <v>35</v>
      </c>
      <c r="G132" t="s">
        <v>28</v>
      </c>
      <c r="H132" t="s">
        <v>20</v>
      </c>
      <c r="I132">
        <v>9</v>
      </c>
      <c r="J132" s="3">
        <v>32600</v>
      </c>
      <c r="K132" s="4">
        <v>0.15</v>
      </c>
      <c r="L132" s="3">
        <v>7400</v>
      </c>
      <c r="M132" t="s">
        <v>29</v>
      </c>
      <c r="N132" t="s">
        <v>38</v>
      </c>
      <c r="O132" t="str">
        <f t="shared" si="8"/>
        <v>Yes</v>
      </c>
      <c r="P132" t="str">
        <f t="shared" si="9"/>
        <v>No</v>
      </c>
      <c r="Q132" t="str">
        <f t="shared" si="10"/>
        <v>No</v>
      </c>
      <c r="R132" t="str">
        <f t="shared" si="11"/>
        <v>Priority</v>
      </c>
    </row>
    <row r="133" spans="1:18" x14ac:dyDescent="0.35">
      <c r="A133" t="s">
        <v>210</v>
      </c>
      <c r="B133" s="2">
        <v>46095</v>
      </c>
      <c r="C133" t="s">
        <v>106</v>
      </c>
      <c r="D133" t="s">
        <v>48</v>
      </c>
      <c r="E133" t="s">
        <v>83</v>
      </c>
      <c r="F133" t="s">
        <v>35</v>
      </c>
      <c r="G133" t="s">
        <v>19</v>
      </c>
      <c r="H133" t="s">
        <v>20</v>
      </c>
      <c r="I133">
        <v>6</v>
      </c>
      <c r="J133" s="3">
        <v>48000</v>
      </c>
      <c r="K133" s="4">
        <v>0.15</v>
      </c>
      <c r="L133" s="3">
        <v>28800</v>
      </c>
      <c r="M133" t="s">
        <v>45</v>
      </c>
      <c r="N133" t="s">
        <v>22</v>
      </c>
      <c r="O133" t="str">
        <f t="shared" si="8"/>
        <v>No</v>
      </c>
      <c r="P133" t="str">
        <f t="shared" si="9"/>
        <v>No</v>
      </c>
      <c r="Q133" t="str">
        <f t="shared" si="10"/>
        <v>Yes</v>
      </c>
      <c r="R133" t="str">
        <f t="shared" si="11"/>
        <v>Normal</v>
      </c>
    </row>
    <row r="134" spans="1:18" x14ac:dyDescent="0.35">
      <c r="A134" t="s">
        <v>211</v>
      </c>
      <c r="B134" s="2">
        <v>46056</v>
      </c>
      <c r="C134" t="s">
        <v>74</v>
      </c>
      <c r="D134" t="s">
        <v>25</v>
      </c>
      <c r="E134" t="s">
        <v>113</v>
      </c>
      <c r="F134" t="s">
        <v>18</v>
      </c>
      <c r="G134" t="s">
        <v>102</v>
      </c>
      <c r="H134" t="s">
        <v>20</v>
      </c>
      <c r="I134">
        <v>6</v>
      </c>
      <c r="J134" s="3">
        <v>12600</v>
      </c>
      <c r="K134" s="4">
        <v>0.15</v>
      </c>
      <c r="L134" s="3">
        <v>12500</v>
      </c>
      <c r="M134" t="s">
        <v>21</v>
      </c>
      <c r="N134" t="s">
        <v>38</v>
      </c>
      <c r="O134" t="str">
        <f t="shared" si="8"/>
        <v>No</v>
      </c>
      <c r="P134" t="str">
        <f t="shared" si="9"/>
        <v>No</v>
      </c>
      <c r="Q134" t="str">
        <f t="shared" si="10"/>
        <v>No</v>
      </c>
      <c r="R134" t="str">
        <f t="shared" si="11"/>
        <v>Normal</v>
      </c>
    </row>
    <row r="135" spans="1:18" x14ac:dyDescent="0.35">
      <c r="A135" t="s">
        <v>212</v>
      </c>
      <c r="B135" s="2">
        <v>46069</v>
      </c>
      <c r="C135" t="s">
        <v>76</v>
      </c>
      <c r="D135" t="s">
        <v>33</v>
      </c>
      <c r="E135" t="s">
        <v>52</v>
      </c>
      <c r="F135" t="s">
        <v>68</v>
      </c>
      <c r="G135" t="s">
        <v>28</v>
      </c>
      <c r="H135" t="s">
        <v>20</v>
      </c>
      <c r="I135">
        <v>7</v>
      </c>
      <c r="J135" s="3">
        <v>27800</v>
      </c>
      <c r="K135" s="4">
        <v>0.1</v>
      </c>
      <c r="L135" s="3">
        <v>6900</v>
      </c>
      <c r="M135" t="s">
        <v>29</v>
      </c>
      <c r="N135" t="s">
        <v>38</v>
      </c>
      <c r="O135" t="str">
        <f t="shared" si="8"/>
        <v>No</v>
      </c>
      <c r="P135" t="str">
        <f t="shared" si="9"/>
        <v>No</v>
      </c>
      <c r="Q135" t="str">
        <f t="shared" si="10"/>
        <v>No</v>
      </c>
      <c r="R135" t="str">
        <f t="shared" si="11"/>
        <v>Normal</v>
      </c>
    </row>
    <row r="136" spans="1:18" x14ac:dyDescent="0.35">
      <c r="A136" t="s">
        <v>213</v>
      </c>
      <c r="B136" s="2">
        <v>46220</v>
      </c>
      <c r="C136" t="s">
        <v>82</v>
      </c>
      <c r="D136" t="s">
        <v>25</v>
      </c>
      <c r="E136" t="s">
        <v>66</v>
      </c>
      <c r="F136" t="s">
        <v>27</v>
      </c>
      <c r="G136" t="s">
        <v>102</v>
      </c>
      <c r="H136" t="s">
        <v>20</v>
      </c>
      <c r="I136">
        <v>2</v>
      </c>
      <c r="J136" s="3">
        <v>12300</v>
      </c>
      <c r="K136" s="4">
        <v>0.2</v>
      </c>
      <c r="L136" s="3">
        <v>14200</v>
      </c>
      <c r="M136" t="s">
        <v>21</v>
      </c>
      <c r="N136" t="s">
        <v>38</v>
      </c>
      <c r="O136" t="str">
        <f t="shared" si="8"/>
        <v>No</v>
      </c>
      <c r="P136" t="str">
        <f t="shared" si="9"/>
        <v>No</v>
      </c>
      <c r="Q136" t="str">
        <f t="shared" si="10"/>
        <v>No</v>
      </c>
      <c r="R136" t="str">
        <f t="shared" si="11"/>
        <v>Normal</v>
      </c>
    </row>
    <row r="137" spans="1:18" x14ac:dyDescent="0.35">
      <c r="A137" t="s">
        <v>214</v>
      </c>
      <c r="B137" s="2">
        <v>46207</v>
      </c>
      <c r="C137" t="s">
        <v>74</v>
      </c>
      <c r="D137" t="s">
        <v>25</v>
      </c>
      <c r="E137" t="s">
        <v>100</v>
      </c>
      <c r="F137" t="s">
        <v>27</v>
      </c>
      <c r="G137" t="s">
        <v>102</v>
      </c>
      <c r="H137" t="s">
        <v>20</v>
      </c>
      <c r="I137">
        <v>3</v>
      </c>
      <c r="J137" s="3">
        <v>22000</v>
      </c>
      <c r="K137" s="4">
        <v>0.1</v>
      </c>
      <c r="L137" s="3">
        <v>14000</v>
      </c>
      <c r="M137" t="s">
        <v>64</v>
      </c>
      <c r="N137" t="s">
        <v>38</v>
      </c>
      <c r="O137" t="str">
        <f t="shared" si="8"/>
        <v>No</v>
      </c>
      <c r="P137" t="str">
        <f t="shared" si="9"/>
        <v>No</v>
      </c>
      <c r="Q137" t="str">
        <f t="shared" si="10"/>
        <v>Yes</v>
      </c>
      <c r="R137" t="str">
        <f t="shared" si="11"/>
        <v>Normal</v>
      </c>
    </row>
    <row r="138" spans="1:18" x14ac:dyDescent="0.35">
      <c r="A138" t="s">
        <v>215</v>
      </c>
      <c r="B138" s="2">
        <v>46254</v>
      </c>
      <c r="C138" t="s">
        <v>70</v>
      </c>
      <c r="D138" t="s">
        <v>25</v>
      </c>
      <c r="E138" t="s">
        <v>100</v>
      </c>
      <c r="F138" t="s">
        <v>58</v>
      </c>
      <c r="G138" t="s">
        <v>53</v>
      </c>
      <c r="H138" t="s">
        <v>37</v>
      </c>
      <c r="I138">
        <v>8</v>
      </c>
      <c r="J138" s="3">
        <v>455300</v>
      </c>
      <c r="K138" s="4">
        <v>0.15</v>
      </c>
      <c r="L138" s="3">
        <v>333700</v>
      </c>
      <c r="M138" t="s">
        <v>29</v>
      </c>
      <c r="N138" t="s">
        <v>38</v>
      </c>
      <c r="O138" t="str">
        <f t="shared" si="8"/>
        <v>No</v>
      </c>
      <c r="P138" t="str">
        <f t="shared" si="9"/>
        <v>No</v>
      </c>
      <c r="Q138" t="str">
        <f t="shared" si="10"/>
        <v>No</v>
      </c>
      <c r="R138" t="str">
        <f t="shared" si="11"/>
        <v>Normal</v>
      </c>
    </row>
    <row r="139" spans="1:18" x14ac:dyDescent="0.35">
      <c r="A139" t="s">
        <v>216</v>
      </c>
      <c r="B139" s="2">
        <v>46228</v>
      </c>
      <c r="C139" t="s">
        <v>95</v>
      </c>
      <c r="D139" t="s">
        <v>48</v>
      </c>
      <c r="E139" t="s">
        <v>83</v>
      </c>
      <c r="F139" t="s">
        <v>35</v>
      </c>
      <c r="G139" t="s">
        <v>43</v>
      </c>
      <c r="H139" t="s">
        <v>44</v>
      </c>
      <c r="I139">
        <v>9</v>
      </c>
      <c r="J139" s="3">
        <v>387400</v>
      </c>
      <c r="K139" s="4">
        <v>0.1</v>
      </c>
      <c r="L139" s="3">
        <v>438200</v>
      </c>
      <c r="M139" t="s">
        <v>29</v>
      </c>
      <c r="N139" t="s">
        <v>22</v>
      </c>
      <c r="O139" t="str">
        <f t="shared" si="8"/>
        <v>No</v>
      </c>
      <c r="P139" t="str">
        <f t="shared" si="9"/>
        <v>No</v>
      </c>
      <c r="Q139" t="str">
        <f t="shared" si="10"/>
        <v>No</v>
      </c>
      <c r="R139" t="str">
        <f t="shared" si="11"/>
        <v>Normal</v>
      </c>
    </row>
    <row r="140" spans="1:18" x14ac:dyDescent="0.35">
      <c r="A140" t="s">
        <v>217</v>
      </c>
      <c r="B140" s="2">
        <v>46092</v>
      </c>
      <c r="C140" t="s">
        <v>24</v>
      </c>
      <c r="D140" t="s">
        <v>48</v>
      </c>
      <c r="E140" t="s">
        <v>104</v>
      </c>
      <c r="F140" t="s">
        <v>58</v>
      </c>
      <c r="G140" t="s">
        <v>28</v>
      </c>
      <c r="H140" t="s">
        <v>20</v>
      </c>
      <c r="I140">
        <v>9</v>
      </c>
      <c r="J140" s="3">
        <v>39800</v>
      </c>
      <c r="K140" s="4">
        <v>0.1</v>
      </c>
      <c r="L140" s="3">
        <v>13200</v>
      </c>
      <c r="M140" t="s">
        <v>64</v>
      </c>
      <c r="N140" t="s">
        <v>30</v>
      </c>
      <c r="O140" t="str">
        <f t="shared" si="8"/>
        <v>No</v>
      </c>
      <c r="P140" t="str">
        <f t="shared" si="9"/>
        <v>No</v>
      </c>
      <c r="Q140" t="str">
        <f t="shared" si="10"/>
        <v>Yes</v>
      </c>
      <c r="R140" t="str">
        <f t="shared" si="11"/>
        <v>Normal</v>
      </c>
    </row>
    <row r="141" spans="1:18" x14ac:dyDescent="0.35">
      <c r="A141" t="s">
        <v>218</v>
      </c>
      <c r="B141" s="2">
        <v>46151</v>
      </c>
      <c r="C141" t="s">
        <v>47</v>
      </c>
      <c r="D141" t="s">
        <v>48</v>
      </c>
      <c r="E141" t="s">
        <v>49</v>
      </c>
      <c r="F141" t="s">
        <v>27</v>
      </c>
      <c r="G141" t="s">
        <v>72</v>
      </c>
      <c r="H141" t="s">
        <v>44</v>
      </c>
      <c r="I141">
        <v>6</v>
      </c>
      <c r="J141" s="3">
        <v>427100</v>
      </c>
      <c r="K141" s="4">
        <v>0.15</v>
      </c>
      <c r="L141" s="3">
        <v>192000</v>
      </c>
      <c r="M141" t="s">
        <v>45</v>
      </c>
      <c r="N141" t="s">
        <v>38</v>
      </c>
      <c r="O141" t="str">
        <f t="shared" si="8"/>
        <v>Yes</v>
      </c>
      <c r="P141" t="str">
        <f t="shared" si="9"/>
        <v>No</v>
      </c>
      <c r="Q141" t="str">
        <f t="shared" si="10"/>
        <v>Yes</v>
      </c>
      <c r="R141" t="str">
        <f t="shared" si="11"/>
        <v>Priority</v>
      </c>
    </row>
    <row r="142" spans="1:18" x14ac:dyDescent="0.35">
      <c r="A142" t="s">
        <v>219</v>
      </c>
      <c r="B142" s="2">
        <v>46058</v>
      </c>
      <c r="C142" t="s">
        <v>32</v>
      </c>
      <c r="D142" t="s">
        <v>33</v>
      </c>
      <c r="E142" t="s">
        <v>52</v>
      </c>
      <c r="F142" t="s">
        <v>18</v>
      </c>
      <c r="G142" t="s">
        <v>78</v>
      </c>
      <c r="H142" t="s">
        <v>37</v>
      </c>
      <c r="I142">
        <v>2</v>
      </c>
      <c r="J142" s="3">
        <v>635700</v>
      </c>
      <c r="K142" s="4">
        <v>0.1</v>
      </c>
      <c r="L142" s="3">
        <v>434500</v>
      </c>
      <c r="M142" t="s">
        <v>21</v>
      </c>
      <c r="N142" t="s">
        <v>38</v>
      </c>
      <c r="O142" t="str">
        <f t="shared" si="8"/>
        <v>No</v>
      </c>
      <c r="P142" t="str">
        <f t="shared" si="9"/>
        <v>No</v>
      </c>
      <c r="Q142" t="str">
        <f t="shared" si="10"/>
        <v>No</v>
      </c>
      <c r="R142" t="str">
        <f t="shared" si="11"/>
        <v>Normal</v>
      </c>
    </row>
    <row r="143" spans="1:18" x14ac:dyDescent="0.35">
      <c r="A143" t="s">
        <v>220</v>
      </c>
      <c r="B143" s="2">
        <v>46163</v>
      </c>
      <c r="C143" t="s">
        <v>82</v>
      </c>
      <c r="D143" t="s">
        <v>25</v>
      </c>
      <c r="E143" t="s">
        <v>100</v>
      </c>
      <c r="F143" t="s">
        <v>42</v>
      </c>
      <c r="G143" t="s">
        <v>19</v>
      </c>
      <c r="H143" t="s">
        <v>20</v>
      </c>
      <c r="I143">
        <v>2</v>
      </c>
      <c r="J143" s="3">
        <v>45900</v>
      </c>
      <c r="K143" s="4">
        <v>0.1</v>
      </c>
      <c r="L143" s="3">
        <v>33600</v>
      </c>
      <c r="M143" t="s">
        <v>64</v>
      </c>
      <c r="N143" t="s">
        <v>38</v>
      </c>
      <c r="O143" t="str">
        <f t="shared" si="8"/>
        <v>No</v>
      </c>
      <c r="P143" t="str">
        <f t="shared" si="9"/>
        <v>No</v>
      </c>
      <c r="Q143" t="str">
        <f t="shared" si="10"/>
        <v>Yes</v>
      </c>
      <c r="R143" t="str">
        <f t="shared" si="11"/>
        <v>Normal</v>
      </c>
    </row>
    <row r="144" spans="1:18" x14ac:dyDescent="0.35">
      <c r="A144" t="s">
        <v>221</v>
      </c>
      <c r="B144" s="2">
        <v>46039</v>
      </c>
      <c r="C144" t="s">
        <v>106</v>
      </c>
      <c r="D144" t="s">
        <v>25</v>
      </c>
      <c r="E144" t="s">
        <v>113</v>
      </c>
      <c r="F144" t="s">
        <v>18</v>
      </c>
      <c r="G144" t="s">
        <v>19</v>
      </c>
      <c r="H144" t="s">
        <v>20</v>
      </c>
      <c r="I144">
        <v>4</v>
      </c>
      <c r="J144" s="3">
        <v>63900</v>
      </c>
      <c r="K144" s="4">
        <v>0.15</v>
      </c>
      <c r="L144" s="3">
        <v>56800</v>
      </c>
      <c r="M144" t="s">
        <v>21</v>
      </c>
      <c r="N144" t="s">
        <v>22</v>
      </c>
      <c r="O144" t="str">
        <f t="shared" si="8"/>
        <v>No</v>
      </c>
      <c r="P144" t="str">
        <f t="shared" si="9"/>
        <v>No</v>
      </c>
      <c r="Q144" t="str">
        <f t="shared" si="10"/>
        <v>No</v>
      </c>
      <c r="R144" t="str">
        <f t="shared" si="11"/>
        <v>Normal</v>
      </c>
    </row>
    <row r="145" spans="1:18" x14ac:dyDescent="0.35">
      <c r="A145" t="s">
        <v>222</v>
      </c>
      <c r="B145" s="2">
        <v>46169</v>
      </c>
      <c r="C145" t="s">
        <v>82</v>
      </c>
      <c r="D145" t="s">
        <v>16</v>
      </c>
      <c r="E145" t="s">
        <v>41</v>
      </c>
      <c r="F145" t="s">
        <v>68</v>
      </c>
      <c r="G145" t="s">
        <v>102</v>
      </c>
      <c r="H145" t="s">
        <v>20</v>
      </c>
      <c r="I145">
        <v>5</v>
      </c>
      <c r="J145" s="3">
        <v>14700</v>
      </c>
      <c r="K145" s="4">
        <v>0.1</v>
      </c>
      <c r="L145" s="3">
        <v>12000</v>
      </c>
      <c r="M145" t="s">
        <v>64</v>
      </c>
      <c r="N145" t="s">
        <v>38</v>
      </c>
      <c r="O145" t="str">
        <f t="shared" si="8"/>
        <v>No</v>
      </c>
      <c r="P145" t="str">
        <f t="shared" si="9"/>
        <v>No</v>
      </c>
      <c r="Q145" t="str">
        <f t="shared" si="10"/>
        <v>Yes</v>
      </c>
      <c r="R145" t="str">
        <f t="shared" si="11"/>
        <v>Normal</v>
      </c>
    </row>
    <row r="146" spans="1:18" x14ac:dyDescent="0.35">
      <c r="A146" t="s">
        <v>223</v>
      </c>
      <c r="B146" s="2">
        <v>46118</v>
      </c>
      <c r="C146" t="s">
        <v>32</v>
      </c>
      <c r="D146" t="s">
        <v>33</v>
      </c>
      <c r="E146" t="s">
        <v>34</v>
      </c>
      <c r="F146" t="s">
        <v>58</v>
      </c>
      <c r="G146" t="s">
        <v>19</v>
      </c>
      <c r="H146" t="s">
        <v>20</v>
      </c>
      <c r="I146">
        <v>7</v>
      </c>
      <c r="J146" s="3">
        <v>84300</v>
      </c>
      <c r="K146" s="4">
        <v>0.15</v>
      </c>
      <c r="L146" s="3">
        <v>26700</v>
      </c>
      <c r="M146" t="s">
        <v>45</v>
      </c>
      <c r="N146" t="s">
        <v>22</v>
      </c>
      <c r="O146" t="str">
        <f t="shared" si="8"/>
        <v>No</v>
      </c>
      <c r="P146" t="str">
        <f t="shared" si="9"/>
        <v>No</v>
      </c>
      <c r="Q146" t="str">
        <f t="shared" si="10"/>
        <v>Yes</v>
      </c>
      <c r="R146" t="str">
        <f t="shared" si="11"/>
        <v>Normal</v>
      </c>
    </row>
    <row r="147" spans="1:18" x14ac:dyDescent="0.35">
      <c r="A147" t="s">
        <v>224</v>
      </c>
      <c r="B147" s="2">
        <v>46113</v>
      </c>
      <c r="C147" t="s">
        <v>70</v>
      </c>
      <c r="D147" t="s">
        <v>16</v>
      </c>
      <c r="E147" t="s">
        <v>63</v>
      </c>
      <c r="F147" t="s">
        <v>27</v>
      </c>
      <c r="G147" t="s">
        <v>28</v>
      </c>
      <c r="H147" t="s">
        <v>20</v>
      </c>
      <c r="I147">
        <v>10</v>
      </c>
      <c r="J147" s="3">
        <v>35700</v>
      </c>
      <c r="K147" s="4">
        <v>0.05</v>
      </c>
      <c r="L147" s="3">
        <v>14300</v>
      </c>
      <c r="M147" t="s">
        <v>45</v>
      </c>
      <c r="N147" t="s">
        <v>22</v>
      </c>
      <c r="O147" t="str">
        <f t="shared" si="8"/>
        <v>No</v>
      </c>
      <c r="P147" t="str">
        <f t="shared" si="9"/>
        <v>No</v>
      </c>
      <c r="Q147" t="str">
        <f t="shared" si="10"/>
        <v>Yes</v>
      </c>
      <c r="R147" t="str">
        <f t="shared" si="11"/>
        <v>Normal</v>
      </c>
    </row>
    <row r="148" spans="1:18" x14ac:dyDescent="0.35">
      <c r="A148" t="s">
        <v>225</v>
      </c>
      <c r="B148" s="2">
        <v>46032</v>
      </c>
      <c r="C148" t="s">
        <v>51</v>
      </c>
      <c r="D148" t="s">
        <v>48</v>
      </c>
      <c r="E148" t="s">
        <v>83</v>
      </c>
      <c r="F148" t="s">
        <v>68</v>
      </c>
      <c r="G148" t="s">
        <v>102</v>
      </c>
      <c r="H148" t="s">
        <v>20</v>
      </c>
      <c r="I148">
        <v>3</v>
      </c>
      <c r="J148" s="3">
        <v>8100</v>
      </c>
      <c r="K148" s="4">
        <v>0.15</v>
      </c>
      <c r="L148" s="3">
        <v>14100</v>
      </c>
      <c r="M148" t="s">
        <v>45</v>
      </c>
      <c r="N148" t="s">
        <v>38</v>
      </c>
      <c r="O148" t="str">
        <f t="shared" si="8"/>
        <v>Yes</v>
      </c>
      <c r="P148" t="str">
        <f t="shared" si="9"/>
        <v>No</v>
      </c>
      <c r="Q148" t="str">
        <f t="shared" si="10"/>
        <v>Yes</v>
      </c>
      <c r="R148" t="str">
        <f t="shared" si="11"/>
        <v>Priority</v>
      </c>
    </row>
    <row r="149" spans="1:18" x14ac:dyDescent="0.35">
      <c r="A149" t="s">
        <v>226</v>
      </c>
      <c r="B149" s="2">
        <v>46096</v>
      </c>
      <c r="C149" t="s">
        <v>55</v>
      </c>
      <c r="D149" t="s">
        <v>16</v>
      </c>
      <c r="E149" t="s">
        <v>63</v>
      </c>
      <c r="F149" t="s">
        <v>35</v>
      </c>
      <c r="G149" t="s">
        <v>43</v>
      </c>
      <c r="H149" t="s">
        <v>44</v>
      </c>
      <c r="I149">
        <v>9</v>
      </c>
      <c r="J149" s="3">
        <v>363000</v>
      </c>
      <c r="K149" s="4">
        <v>0.1</v>
      </c>
      <c r="L149" s="3">
        <v>112800</v>
      </c>
      <c r="M149" t="s">
        <v>45</v>
      </c>
      <c r="N149" t="s">
        <v>22</v>
      </c>
      <c r="O149" t="str">
        <f t="shared" si="8"/>
        <v>No</v>
      </c>
      <c r="P149" t="str">
        <f t="shared" si="9"/>
        <v>No</v>
      </c>
      <c r="Q149" t="str">
        <f t="shared" si="10"/>
        <v>Yes</v>
      </c>
      <c r="R149" t="str">
        <f t="shared" si="11"/>
        <v>Normal</v>
      </c>
    </row>
    <row r="150" spans="1:18" x14ac:dyDescent="0.35">
      <c r="A150" t="s">
        <v>227</v>
      </c>
      <c r="B150" s="2">
        <v>46109</v>
      </c>
      <c r="C150" t="s">
        <v>24</v>
      </c>
      <c r="D150" t="s">
        <v>33</v>
      </c>
      <c r="E150" t="s">
        <v>71</v>
      </c>
      <c r="F150" t="s">
        <v>18</v>
      </c>
      <c r="G150" t="s">
        <v>78</v>
      </c>
      <c r="H150" t="s">
        <v>37</v>
      </c>
      <c r="I150">
        <v>7</v>
      </c>
      <c r="J150" s="3">
        <v>655800</v>
      </c>
      <c r="K150" s="4">
        <v>0.15</v>
      </c>
      <c r="L150" s="3">
        <v>465300</v>
      </c>
      <c r="M150" t="s">
        <v>29</v>
      </c>
      <c r="N150" t="s">
        <v>38</v>
      </c>
      <c r="O150" t="str">
        <f t="shared" si="8"/>
        <v>No</v>
      </c>
      <c r="P150" t="str">
        <f t="shared" si="9"/>
        <v>No</v>
      </c>
      <c r="Q150" t="str">
        <f t="shared" si="10"/>
        <v>No</v>
      </c>
      <c r="R150" t="str">
        <f t="shared" si="11"/>
        <v>Normal</v>
      </c>
    </row>
    <row r="151" spans="1:18" x14ac:dyDescent="0.35">
      <c r="A151" t="s">
        <v>228</v>
      </c>
      <c r="B151" s="2">
        <v>46162</v>
      </c>
      <c r="C151" t="s">
        <v>82</v>
      </c>
      <c r="D151" t="s">
        <v>33</v>
      </c>
      <c r="E151" t="s">
        <v>71</v>
      </c>
      <c r="F151" t="s">
        <v>18</v>
      </c>
      <c r="G151" t="s">
        <v>43</v>
      </c>
      <c r="H151" t="s">
        <v>44</v>
      </c>
      <c r="I151">
        <v>2</v>
      </c>
      <c r="J151" s="3">
        <v>343800</v>
      </c>
      <c r="K151" s="4">
        <v>0.1</v>
      </c>
      <c r="L151" s="3">
        <v>448300</v>
      </c>
      <c r="M151" t="s">
        <v>45</v>
      </c>
      <c r="N151" t="s">
        <v>38</v>
      </c>
      <c r="O151" t="str">
        <f t="shared" si="8"/>
        <v>No</v>
      </c>
      <c r="P151" t="str">
        <f t="shared" si="9"/>
        <v>No</v>
      </c>
      <c r="Q151" t="str">
        <f t="shared" si="10"/>
        <v>Yes</v>
      </c>
      <c r="R151" t="str">
        <f t="shared" si="11"/>
        <v>Normal</v>
      </c>
    </row>
    <row r="152" spans="1:18" x14ac:dyDescent="0.35">
      <c r="A152" t="s">
        <v>229</v>
      </c>
      <c r="B152" s="2">
        <v>46112</v>
      </c>
      <c r="C152" t="s">
        <v>32</v>
      </c>
      <c r="D152" t="s">
        <v>33</v>
      </c>
      <c r="E152" t="s">
        <v>71</v>
      </c>
      <c r="F152" t="s">
        <v>35</v>
      </c>
      <c r="G152" t="s">
        <v>72</v>
      </c>
      <c r="H152" t="s">
        <v>44</v>
      </c>
      <c r="I152">
        <v>10</v>
      </c>
      <c r="J152" s="3">
        <v>356800</v>
      </c>
      <c r="K152" s="4">
        <v>0.15</v>
      </c>
      <c r="L152" s="3">
        <v>125000</v>
      </c>
      <c r="M152" t="s">
        <v>64</v>
      </c>
      <c r="N152" t="s">
        <v>38</v>
      </c>
      <c r="O152" t="str">
        <f t="shared" si="8"/>
        <v>No</v>
      </c>
      <c r="P152" t="str">
        <f t="shared" si="9"/>
        <v>Yes</v>
      </c>
      <c r="Q152" t="str">
        <f t="shared" si="10"/>
        <v>Yes</v>
      </c>
      <c r="R152" t="str">
        <f t="shared" si="11"/>
        <v>Normal</v>
      </c>
    </row>
    <row r="153" spans="1:18" x14ac:dyDescent="0.35">
      <c r="A153" t="s">
        <v>230</v>
      </c>
      <c r="B153" s="2">
        <v>46228</v>
      </c>
      <c r="C153" t="s">
        <v>70</v>
      </c>
      <c r="D153" t="s">
        <v>48</v>
      </c>
      <c r="E153" t="s">
        <v>104</v>
      </c>
      <c r="F153" t="s">
        <v>68</v>
      </c>
      <c r="G153" t="s">
        <v>19</v>
      </c>
      <c r="H153" t="s">
        <v>20</v>
      </c>
      <c r="I153">
        <v>2</v>
      </c>
      <c r="J153" s="3">
        <v>75200</v>
      </c>
      <c r="K153" s="4">
        <v>0.2</v>
      </c>
      <c r="L153" s="3">
        <v>41200</v>
      </c>
      <c r="M153" t="s">
        <v>29</v>
      </c>
      <c r="N153" t="s">
        <v>30</v>
      </c>
      <c r="O153" t="str">
        <f t="shared" si="8"/>
        <v>No</v>
      </c>
      <c r="P153" t="str">
        <f t="shared" si="9"/>
        <v>No</v>
      </c>
      <c r="Q153" t="str">
        <f t="shared" si="10"/>
        <v>No</v>
      </c>
      <c r="R153" t="str">
        <f t="shared" si="11"/>
        <v>Normal</v>
      </c>
    </row>
    <row r="154" spans="1:18" x14ac:dyDescent="0.35">
      <c r="A154" t="s">
        <v>231</v>
      </c>
      <c r="B154" s="2">
        <v>46168</v>
      </c>
      <c r="C154" t="s">
        <v>47</v>
      </c>
      <c r="D154" t="s">
        <v>48</v>
      </c>
      <c r="E154" t="s">
        <v>49</v>
      </c>
      <c r="F154" t="s">
        <v>27</v>
      </c>
      <c r="G154" t="s">
        <v>28</v>
      </c>
      <c r="H154" t="s">
        <v>20</v>
      </c>
      <c r="I154">
        <v>4</v>
      </c>
      <c r="J154" s="3">
        <v>37200</v>
      </c>
      <c r="K154" s="4">
        <v>0.15</v>
      </c>
      <c r="L154" s="3">
        <v>15100</v>
      </c>
      <c r="M154" t="s">
        <v>21</v>
      </c>
      <c r="N154" t="s">
        <v>38</v>
      </c>
      <c r="O154" t="str">
        <f t="shared" si="8"/>
        <v>Yes</v>
      </c>
      <c r="P154" t="str">
        <f t="shared" si="9"/>
        <v>No</v>
      </c>
      <c r="Q154" t="str">
        <f t="shared" si="10"/>
        <v>No</v>
      </c>
      <c r="R154" t="str">
        <f t="shared" si="11"/>
        <v>Priority</v>
      </c>
    </row>
    <row r="155" spans="1:18" x14ac:dyDescent="0.35">
      <c r="A155" t="s">
        <v>232</v>
      </c>
      <c r="B155" s="2">
        <v>46189</v>
      </c>
      <c r="C155" t="s">
        <v>99</v>
      </c>
      <c r="D155" t="s">
        <v>33</v>
      </c>
      <c r="E155" t="s">
        <v>71</v>
      </c>
      <c r="F155" t="s">
        <v>42</v>
      </c>
      <c r="G155" t="s">
        <v>28</v>
      </c>
      <c r="H155" t="s">
        <v>20</v>
      </c>
      <c r="I155">
        <v>10</v>
      </c>
      <c r="J155" s="3">
        <v>14800</v>
      </c>
      <c r="K155" s="4">
        <v>0.1</v>
      </c>
      <c r="L155" s="3">
        <v>15100</v>
      </c>
      <c r="M155" t="s">
        <v>45</v>
      </c>
      <c r="N155" t="s">
        <v>38</v>
      </c>
      <c r="O155" t="str">
        <f t="shared" si="8"/>
        <v>No</v>
      </c>
      <c r="P155" t="str">
        <f t="shared" si="9"/>
        <v>Yes</v>
      </c>
      <c r="Q155" t="str">
        <f t="shared" si="10"/>
        <v>Yes</v>
      </c>
      <c r="R155" t="str">
        <f t="shared" si="11"/>
        <v>Normal</v>
      </c>
    </row>
    <row r="156" spans="1:18" x14ac:dyDescent="0.35">
      <c r="A156" t="s">
        <v>233</v>
      </c>
      <c r="B156" s="2">
        <v>46077</v>
      </c>
      <c r="C156" t="s">
        <v>62</v>
      </c>
      <c r="D156" t="s">
        <v>16</v>
      </c>
      <c r="E156" t="s">
        <v>41</v>
      </c>
      <c r="F156" t="s">
        <v>42</v>
      </c>
      <c r="G156" t="s">
        <v>43</v>
      </c>
      <c r="H156" t="s">
        <v>44</v>
      </c>
      <c r="I156">
        <v>9</v>
      </c>
      <c r="J156" s="3">
        <v>203000</v>
      </c>
      <c r="K156" s="4">
        <v>0.15</v>
      </c>
      <c r="L156" s="3">
        <v>371200</v>
      </c>
      <c r="M156" t="s">
        <v>45</v>
      </c>
      <c r="N156" t="s">
        <v>38</v>
      </c>
      <c r="O156" t="str">
        <f t="shared" si="8"/>
        <v>No</v>
      </c>
      <c r="P156" t="str">
        <f t="shared" si="9"/>
        <v>No</v>
      </c>
      <c r="Q156" t="str">
        <f t="shared" si="10"/>
        <v>Yes</v>
      </c>
      <c r="R156" t="str">
        <f t="shared" si="11"/>
        <v>Normal</v>
      </c>
    </row>
    <row r="157" spans="1:18" x14ac:dyDescent="0.35">
      <c r="A157" t="s">
        <v>234</v>
      </c>
      <c r="B157" s="2">
        <v>46230</v>
      </c>
      <c r="C157" t="s">
        <v>82</v>
      </c>
      <c r="D157" t="s">
        <v>25</v>
      </c>
      <c r="E157" t="s">
        <v>26</v>
      </c>
      <c r="F157" t="s">
        <v>27</v>
      </c>
      <c r="G157" t="s">
        <v>28</v>
      </c>
      <c r="H157" t="s">
        <v>20</v>
      </c>
      <c r="I157">
        <v>8</v>
      </c>
      <c r="J157" s="3">
        <v>16000</v>
      </c>
      <c r="K157" s="4">
        <v>0.05</v>
      </c>
      <c r="L157" s="3">
        <v>23300</v>
      </c>
      <c r="M157" t="s">
        <v>45</v>
      </c>
      <c r="N157" t="s">
        <v>38</v>
      </c>
      <c r="O157" t="str">
        <f t="shared" si="8"/>
        <v>No</v>
      </c>
      <c r="P157" t="str">
        <f t="shared" si="9"/>
        <v>No</v>
      </c>
      <c r="Q157" t="str">
        <f t="shared" si="10"/>
        <v>Yes</v>
      </c>
      <c r="R157" t="str">
        <f t="shared" si="11"/>
        <v>Normal</v>
      </c>
    </row>
    <row r="158" spans="1:18" x14ac:dyDescent="0.35">
      <c r="A158" t="s">
        <v>235</v>
      </c>
      <c r="B158" s="2">
        <v>46225</v>
      </c>
      <c r="C158" t="s">
        <v>32</v>
      </c>
      <c r="D158" t="s">
        <v>33</v>
      </c>
      <c r="E158" t="s">
        <v>71</v>
      </c>
      <c r="F158" t="s">
        <v>27</v>
      </c>
      <c r="G158" t="s">
        <v>102</v>
      </c>
      <c r="H158" t="s">
        <v>20</v>
      </c>
      <c r="I158">
        <v>6</v>
      </c>
      <c r="J158" s="3">
        <v>16200</v>
      </c>
      <c r="K158" s="4">
        <v>0.1</v>
      </c>
      <c r="L158" s="3">
        <v>5600</v>
      </c>
      <c r="M158" t="s">
        <v>29</v>
      </c>
      <c r="N158" t="s">
        <v>38</v>
      </c>
      <c r="O158" t="str">
        <f t="shared" si="8"/>
        <v>No</v>
      </c>
      <c r="P158" t="str">
        <f t="shared" si="9"/>
        <v>No</v>
      </c>
      <c r="Q158" t="str">
        <f t="shared" si="10"/>
        <v>No</v>
      </c>
      <c r="R158" t="str">
        <f t="shared" si="11"/>
        <v>Normal</v>
      </c>
    </row>
    <row r="159" spans="1:18" x14ac:dyDescent="0.35">
      <c r="A159" t="s">
        <v>236</v>
      </c>
      <c r="B159" s="2">
        <v>46249</v>
      </c>
      <c r="C159" t="s">
        <v>82</v>
      </c>
      <c r="D159" t="s">
        <v>16</v>
      </c>
      <c r="E159" t="s">
        <v>63</v>
      </c>
      <c r="F159" t="s">
        <v>58</v>
      </c>
      <c r="G159" t="s">
        <v>78</v>
      </c>
      <c r="H159" t="s">
        <v>37</v>
      </c>
      <c r="I159">
        <v>8</v>
      </c>
      <c r="J159" s="3">
        <v>621500</v>
      </c>
      <c r="K159" s="4">
        <v>0.2</v>
      </c>
      <c r="L159" s="3">
        <v>402000</v>
      </c>
      <c r="M159" t="s">
        <v>21</v>
      </c>
      <c r="N159" t="s">
        <v>38</v>
      </c>
      <c r="O159" t="str">
        <f t="shared" si="8"/>
        <v>No</v>
      </c>
      <c r="P159" t="str">
        <f t="shared" si="9"/>
        <v>No</v>
      </c>
      <c r="Q159" t="str">
        <f t="shared" si="10"/>
        <v>No</v>
      </c>
      <c r="R159" t="str">
        <f t="shared" si="11"/>
        <v>Normal</v>
      </c>
    </row>
    <row r="160" spans="1:18" x14ac:dyDescent="0.35">
      <c r="A160" t="s">
        <v>237</v>
      </c>
      <c r="B160" s="2">
        <v>46142</v>
      </c>
      <c r="C160" t="s">
        <v>76</v>
      </c>
      <c r="D160" t="s">
        <v>48</v>
      </c>
      <c r="E160" t="s">
        <v>83</v>
      </c>
      <c r="F160" t="s">
        <v>42</v>
      </c>
      <c r="G160" t="s">
        <v>28</v>
      </c>
      <c r="H160" t="s">
        <v>20</v>
      </c>
      <c r="I160">
        <v>3</v>
      </c>
      <c r="J160" s="3">
        <v>44000</v>
      </c>
      <c r="K160" s="4">
        <v>0.15</v>
      </c>
      <c r="L160" s="3">
        <v>21600</v>
      </c>
      <c r="M160" t="s">
        <v>45</v>
      </c>
      <c r="N160" t="s">
        <v>38</v>
      </c>
      <c r="O160" t="str">
        <f t="shared" si="8"/>
        <v>Yes</v>
      </c>
      <c r="P160" t="str">
        <f t="shared" si="9"/>
        <v>No</v>
      </c>
      <c r="Q160" t="str">
        <f t="shared" si="10"/>
        <v>Yes</v>
      </c>
      <c r="R160" t="str">
        <f t="shared" si="11"/>
        <v>Priority</v>
      </c>
    </row>
    <row r="161" spans="1:18" x14ac:dyDescent="0.35">
      <c r="A161" t="s">
        <v>238</v>
      </c>
      <c r="B161" s="2">
        <v>46105</v>
      </c>
      <c r="C161" t="s">
        <v>89</v>
      </c>
      <c r="D161" t="s">
        <v>25</v>
      </c>
      <c r="E161" t="s">
        <v>66</v>
      </c>
      <c r="F161" t="s">
        <v>42</v>
      </c>
      <c r="G161" t="s">
        <v>19</v>
      </c>
      <c r="H161" t="s">
        <v>20</v>
      </c>
      <c r="I161">
        <v>2</v>
      </c>
      <c r="J161" s="3">
        <v>68300</v>
      </c>
      <c r="K161" s="4">
        <v>0.1</v>
      </c>
      <c r="L161" s="3">
        <v>37200</v>
      </c>
      <c r="M161" t="s">
        <v>29</v>
      </c>
      <c r="N161" t="s">
        <v>38</v>
      </c>
      <c r="O161" t="str">
        <f t="shared" si="8"/>
        <v>No</v>
      </c>
      <c r="P161" t="str">
        <f t="shared" si="9"/>
        <v>No</v>
      </c>
      <c r="Q161" t="str">
        <f t="shared" si="10"/>
        <v>No</v>
      </c>
      <c r="R161" t="str">
        <f t="shared" si="11"/>
        <v>Normal</v>
      </c>
    </row>
    <row r="162" spans="1:18" x14ac:dyDescent="0.35">
      <c r="A162" t="s">
        <v>239</v>
      </c>
      <c r="B162" s="2">
        <v>46159</v>
      </c>
      <c r="C162" t="s">
        <v>108</v>
      </c>
      <c r="D162" t="s">
        <v>33</v>
      </c>
      <c r="E162" t="s">
        <v>34</v>
      </c>
      <c r="F162" t="s">
        <v>35</v>
      </c>
      <c r="G162" t="s">
        <v>36</v>
      </c>
      <c r="H162" t="s">
        <v>37</v>
      </c>
      <c r="I162">
        <v>9</v>
      </c>
      <c r="J162" s="3">
        <v>141200</v>
      </c>
      <c r="K162" s="4">
        <v>0.2</v>
      </c>
      <c r="L162" s="3">
        <v>145000</v>
      </c>
      <c r="M162" t="s">
        <v>21</v>
      </c>
      <c r="N162" t="s">
        <v>38</v>
      </c>
      <c r="O162" t="str">
        <f t="shared" si="8"/>
        <v>No</v>
      </c>
      <c r="P162" t="str">
        <f t="shared" si="9"/>
        <v>No</v>
      </c>
      <c r="Q162" t="str">
        <f t="shared" si="10"/>
        <v>No</v>
      </c>
      <c r="R162" t="str">
        <f t="shared" si="11"/>
        <v>Normal</v>
      </c>
    </row>
    <row r="163" spans="1:18" x14ac:dyDescent="0.35">
      <c r="A163" t="s">
        <v>240</v>
      </c>
      <c r="B163" s="2">
        <v>46034</v>
      </c>
      <c r="C163" t="s">
        <v>51</v>
      </c>
      <c r="D163" t="s">
        <v>25</v>
      </c>
      <c r="E163" t="s">
        <v>66</v>
      </c>
      <c r="F163" t="s">
        <v>68</v>
      </c>
      <c r="G163" t="s">
        <v>78</v>
      </c>
      <c r="H163" t="s">
        <v>37</v>
      </c>
      <c r="I163">
        <v>10</v>
      </c>
      <c r="J163" s="3">
        <v>316500</v>
      </c>
      <c r="K163" s="4">
        <v>0.05</v>
      </c>
      <c r="L163" s="3">
        <v>505000</v>
      </c>
      <c r="M163" t="s">
        <v>45</v>
      </c>
      <c r="N163" t="s">
        <v>38</v>
      </c>
      <c r="O163" t="str">
        <f t="shared" si="8"/>
        <v>No</v>
      </c>
      <c r="P163" t="str">
        <f t="shared" si="9"/>
        <v>Yes</v>
      </c>
      <c r="Q163" t="str">
        <f t="shared" si="10"/>
        <v>Yes</v>
      </c>
      <c r="R163" t="str">
        <f t="shared" si="11"/>
        <v>Normal</v>
      </c>
    </row>
    <row r="164" spans="1:18" x14ac:dyDescent="0.35">
      <c r="A164" t="s">
        <v>241</v>
      </c>
      <c r="B164" s="2">
        <v>46099</v>
      </c>
      <c r="C164" t="s">
        <v>95</v>
      </c>
      <c r="D164" t="s">
        <v>48</v>
      </c>
      <c r="E164" t="s">
        <v>49</v>
      </c>
      <c r="F164" t="s">
        <v>42</v>
      </c>
      <c r="G164" t="s">
        <v>53</v>
      </c>
      <c r="H164" t="s">
        <v>37</v>
      </c>
      <c r="I164">
        <v>5</v>
      </c>
      <c r="J164" s="3">
        <v>567300</v>
      </c>
      <c r="K164" s="4">
        <v>0.15</v>
      </c>
      <c r="L164" s="3">
        <v>531600</v>
      </c>
      <c r="M164" t="s">
        <v>64</v>
      </c>
      <c r="N164" t="s">
        <v>38</v>
      </c>
      <c r="O164" t="str">
        <f t="shared" si="8"/>
        <v>Yes</v>
      </c>
      <c r="P164" t="str">
        <f t="shared" si="9"/>
        <v>No</v>
      </c>
      <c r="Q164" t="str">
        <f t="shared" si="10"/>
        <v>Yes</v>
      </c>
      <c r="R164" t="str">
        <f t="shared" si="11"/>
        <v>Priority</v>
      </c>
    </row>
    <row r="165" spans="1:18" x14ac:dyDescent="0.35">
      <c r="A165" t="s">
        <v>242</v>
      </c>
      <c r="B165" s="2">
        <v>46243</v>
      </c>
      <c r="C165" t="s">
        <v>24</v>
      </c>
      <c r="D165" t="s">
        <v>25</v>
      </c>
      <c r="E165" t="s">
        <v>100</v>
      </c>
      <c r="F165" t="s">
        <v>42</v>
      </c>
      <c r="G165" t="s">
        <v>72</v>
      </c>
      <c r="H165" t="s">
        <v>44</v>
      </c>
      <c r="I165">
        <v>8</v>
      </c>
      <c r="J165" s="3">
        <v>187300</v>
      </c>
      <c r="K165" s="4">
        <v>0.1</v>
      </c>
      <c r="L165" s="3">
        <v>243800</v>
      </c>
      <c r="M165" t="s">
        <v>45</v>
      </c>
      <c r="N165" t="s">
        <v>22</v>
      </c>
      <c r="O165" t="str">
        <f t="shared" si="8"/>
        <v>No</v>
      </c>
      <c r="P165" t="str">
        <f t="shared" si="9"/>
        <v>No</v>
      </c>
      <c r="Q165" t="str">
        <f t="shared" si="10"/>
        <v>Yes</v>
      </c>
      <c r="R165" t="str">
        <f t="shared" si="11"/>
        <v>Normal</v>
      </c>
    </row>
    <row r="166" spans="1:18" x14ac:dyDescent="0.35">
      <c r="A166" t="s">
        <v>243</v>
      </c>
      <c r="B166" s="2">
        <v>46086</v>
      </c>
      <c r="C166" t="s">
        <v>70</v>
      </c>
      <c r="D166" t="s">
        <v>48</v>
      </c>
      <c r="E166" t="s">
        <v>165</v>
      </c>
      <c r="F166" t="s">
        <v>35</v>
      </c>
      <c r="G166" t="s">
        <v>28</v>
      </c>
      <c r="H166" t="s">
        <v>20</v>
      </c>
      <c r="I166">
        <v>6</v>
      </c>
      <c r="J166" s="3">
        <v>18500</v>
      </c>
      <c r="K166" s="4">
        <v>0.15</v>
      </c>
      <c r="L166" s="3">
        <v>9400</v>
      </c>
      <c r="M166" t="s">
        <v>29</v>
      </c>
      <c r="N166" t="s">
        <v>38</v>
      </c>
      <c r="O166" t="str">
        <f t="shared" si="8"/>
        <v>Yes</v>
      </c>
      <c r="P166" t="str">
        <f t="shared" si="9"/>
        <v>No</v>
      </c>
      <c r="Q166" t="str">
        <f t="shared" si="10"/>
        <v>No</v>
      </c>
      <c r="R166" t="str">
        <f t="shared" si="11"/>
        <v>Priority</v>
      </c>
    </row>
    <row r="167" spans="1:18" x14ac:dyDescent="0.35">
      <c r="A167" t="s">
        <v>244</v>
      </c>
      <c r="B167" s="2">
        <v>46218</v>
      </c>
      <c r="C167" t="s">
        <v>106</v>
      </c>
      <c r="D167" t="s">
        <v>48</v>
      </c>
      <c r="E167" t="s">
        <v>83</v>
      </c>
      <c r="F167" t="s">
        <v>27</v>
      </c>
      <c r="G167" t="s">
        <v>102</v>
      </c>
      <c r="H167" t="s">
        <v>20</v>
      </c>
      <c r="I167">
        <v>6</v>
      </c>
      <c r="J167" s="3">
        <v>23800</v>
      </c>
      <c r="K167" s="4">
        <v>0.1</v>
      </c>
      <c r="L167" s="3">
        <v>13400</v>
      </c>
      <c r="M167" t="s">
        <v>29</v>
      </c>
      <c r="N167" t="s">
        <v>38</v>
      </c>
      <c r="O167" t="str">
        <f t="shared" si="8"/>
        <v>Yes</v>
      </c>
      <c r="P167" t="str">
        <f t="shared" si="9"/>
        <v>No</v>
      </c>
      <c r="Q167" t="str">
        <f t="shared" si="10"/>
        <v>No</v>
      </c>
      <c r="R167" t="str">
        <f t="shared" si="11"/>
        <v>Priority</v>
      </c>
    </row>
    <row r="168" spans="1:18" x14ac:dyDescent="0.35">
      <c r="A168" t="s">
        <v>245</v>
      </c>
      <c r="B168" s="2">
        <v>46084</v>
      </c>
      <c r="C168" t="s">
        <v>108</v>
      </c>
      <c r="D168" t="s">
        <v>48</v>
      </c>
      <c r="E168" t="s">
        <v>83</v>
      </c>
      <c r="F168" t="s">
        <v>35</v>
      </c>
      <c r="G168" t="s">
        <v>72</v>
      </c>
      <c r="H168" t="s">
        <v>44</v>
      </c>
      <c r="I168">
        <v>1</v>
      </c>
      <c r="J168" s="3">
        <v>149700</v>
      </c>
      <c r="K168" s="4">
        <v>0.15</v>
      </c>
      <c r="L168" s="3">
        <v>186200</v>
      </c>
      <c r="M168" t="s">
        <v>29</v>
      </c>
      <c r="N168" t="s">
        <v>38</v>
      </c>
      <c r="O168" t="str">
        <f t="shared" si="8"/>
        <v>Yes</v>
      </c>
      <c r="P168" t="str">
        <f t="shared" si="9"/>
        <v>No</v>
      </c>
      <c r="Q168" t="str">
        <f t="shared" si="10"/>
        <v>No</v>
      </c>
      <c r="R168" t="str">
        <f t="shared" si="11"/>
        <v>Priority</v>
      </c>
    </row>
    <row r="169" spans="1:18" x14ac:dyDescent="0.35">
      <c r="A169" t="s">
        <v>246</v>
      </c>
      <c r="B169" s="2">
        <v>46057</v>
      </c>
      <c r="C169" t="s">
        <v>24</v>
      </c>
      <c r="D169" t="s">
        <v>16</v>
      </c>
      <c r="E169" t="s">
        <v>63</v>
      </c>
      <c r="F169" t="s">
        <v>42</v>
      </c>
      <c r="G169" t="s">
        <v>72</v>
      </c>
      <c r="H169" t="s">
        <v>44</v>
      </c>
      <c r="I169">
        <v>5</v>
      </c>
      <c r="J169" s="3">
        <v>297100</v>
      </c>
      <c r="K169" s="4">
        <v>0.15</v>
      </c>
      <c r="L169" s="3">
        <v>308700</v>
      </c>
      <c r="M169" t="s">
        <v>45</v>
      </c>
      <c r="N169" t="s">
        <v>22</v>
      </c>
      <c r="O169" t="str">
        <f t="shared" si="8"/>
        <v>No</v>
      </c>
      <c r="P169" t="str">
        <f t="shared" si="9"/>
        <v>No</v>
      </c>
      <c r="Q169" t="str">
        <f t="shared" si="10"/>
        <v>Yes</v>
      </c>
      <c r="R169" t="str">
        <f t="shared" si="11"/>
        <v>Normal</v>
      </c>
    </row>
    <row r="170" spans="1:18" x14ac:dyDescent="0.35">
      <c r="A170" t="s">
        <v>247</v>
      </c>
      <c r="B170" s="2">
        <v>46041</v>
      </c>
      <c r="C170" t="s">
        <v>76</v>
      </c>
      <c r="D170" t="s">
        <v>33</v>
      </c>
      <c r="E170" t="s">
        <v>34</v>
      </c>
      <c r="F170" t="s">
        <v>42</v>
      </c>
      <c r="G170" t="s">
        <v>19</v>
      </c>
      <c r="H170" t="s">
        <v>20</v>
      </c>
      <c r="I170">
        <v>10</v>
      </c>
      <c r="J170" s="3">
        <v>70300</v>
      </c>
      <c r="K170" s="4">
        <v>0.1</v>
      </c>
      <c r="L170" s="3">
        <v>39500</v>
      </c>
      <c r="M170" t="s">
        <v>64</v>
      </c>
      <c r="N170" t="s">
        <v>38</v>
      </c>
      <c r="O170" t="str">
        <f t="shared" si="8"/>
        <v>No</v>
      </c>
      <c r="P170" t="str">
        <f t="shared" si="9"/>
        <v>Yes</v>
      </c>
      <c r="Q170" t="str">
        <f t="shared" si="10"/>
        <v>Yes</v>
      </c>
      <c r="R170" t="str">
        <f t="shared" si="11"/>
        <v>Normal</v>
      </c>
    </row>
    <row r="171" spans="1:18" x14ac:dyDescent="0.35">
      <c r="A171" t="s">
        <v>248</v>
      </c>
      <c r="B171" s="2">
        <v>46263</v>
      </c>
      <c r="C171" t="s">
        <v>89</v>
      </c>
      <c r="D171" t="s">
        <v>33</v>
      </c>
      <c r="E171" t="s">
        <v>34</v>
      </c>
      <c r="F171" t="s">
        <v>27</v>
      </c>
      <c r="G171" t="s">
        <v>28</v>
      </c>
      <c r="H171" t="s">
        <v>20</v>
      </c>
      <c r="I171">
        <v>7</v>
      </c>
      <c r="J171" s="3">
        <v>23100</v>
      </c>
      <c r="K171" s="4">
        <v>0.2</v>
      </c>
      <c r="L171" s="3">
        <v>29700</v>
      </c>
      <c r="M171" t="s">
        <v>45</v>
      </c>
      <c r="N171" t="s">
        <v>22</v>
      </c>
      <c r="O171" t="str">
        <f t="shared" si="8"/>
        <v>No</v>
      </c>
      <c r="P171" t="str">
        <f t="shared" si="9"/>
        <v>No</v>
      </c>
      <c r="Q171" t="str">
        <f t="shared" si="10"/>
        <v>Yes</v>
      </c>
      <c r="R171" t="str">
        <f t="shared" si="11"/>
        <v>Normal</v>
      </c>
    </row>
    <row r="172" spans="1:18" x14ac:dyDescent="0.35">
      <c r="A172" t="s">
        <v>249</v>
      </c>
      <c r="B172" s="2">
        <v>46139</v>
      </c>
      <c r="C172" t="s">
        <v>55</v>
      </c>
      <c r="D172" t="s">
        <v>48</v>
      </c>
      <c r="E172" t="s">
        <v>49</v>
      </c>
      <c r="F172" t="s">
        <v>18</v>
      </c>
      <c r="G172" t="s">
        <v>19</v>
      </c>
      <c r="H172" t="s">
        <v>20</v>
      </c>
      <c r="I172">
        <v>3</v>
      </c>
      <c r="J172" s="3">
        <v>77100</v>
      </c>
      <c r="K172" s="4">
        <v>0.2</v>
      </c>
      <c r="L172" s="3">
        <v>57200</v>
      </c>
      <c r="M172" t="s">
        <v>29</v>
      </c>
      <c r="N172" t="s">
        <v>38</v>
      </c>
      <c r="O172" t="str">
        <f t="shared" si="8"/>
        <v>Yes</v>
      </c>
      <c r="P172" t="str">
        <f t="shared" si="9"/>
        <v>No</v>
      </c>
      <c r="Q172" t="str">
        <f t="shared" si="10"/>
        <v>No</v>
      </c>
      <c r="R172" t="str">
        <f t="shared" si="11"/>
        <v>Priority</v>
      </c>
    </row>
    <row r="173" spans="1:18" x14ac:dyDescent="0.35">
      <c r="A173" t="s">
        <v>250</v>
      </c>
      <c r="B173" s="2">
        <v>46174</v>
      </c>
      <c r="C173" t="s">
        <v>108</v>
      </c>
      <c r="D173" t="s">
        <v>25</v>
      </c>
      <c r="E173" t="s">
        <v>113</v>
      </c>
      <c r="F173" t="s">
        <v>58</v>
      </c>
      <c r="G173" t="s">
        <v>78</v>
      </c>
      <c r="H173" t="s">
        <v>37</v>
      </c>
      <c r="I173">
        <v>3</v>
      </c>
      <c r="J173" s="3">
        <v>457200</v>
      </c>
      <c r="K173" s="4">
        <v>0.1</v>
      </c>
      <c r="L173" s="3">
        <v>423400</v>
      </c>
      <c r="M173" t="s">
        <v>45</v>
      </c>
      <c r="N173" t="s">
        <v>38</v>
      </c>
      <c r="O173" t="str">
        <f t="shared" si="8"/>
        <v>No</v>
      </c>
      <c r="P173" t="str">
        <f t="shared" si="9"/>
        <v>No</v>
      </c>
      <c r="Q173" t="str">
        <f t="shared" si="10"/>
        <v>Yes</v>
      </c>
      <c r="R173" t="str">
        <f t="shared" si="11"/>
        <v>Normal</v>
      </c>
    </row>
    <row r="174" spans="1:18" x14ac:dyDescent="0.35">
      <c r="A174" t="s">
        <v>251</v>
      </c>
      <c r="B174" s="2">
        <v>46172</v>
      </c>
      <c r="C174" t="s">
        <v>108</v>
      </c>
      <c r="D174" t="s">
        <v>48</v>
      </c>
      <c r="E174" t="s">
        <v>104</v>
      </c>
      <c r="F174" t="s">
        <v>42</v>
      </c>
      <c r="G174" t="s">
        <v>19</v>
      </c>
      <c r="H174" t="s">
        <v>20</v>
      </c>
      <c r="I174">
        <v>6</v>
      </c>
      <c r="J174" s="3">
        <v>59900</v>
      </c>
      <c r="K174" s="4">
        <v>0.15</v>
      </c>
      <c r="L174" s="3">
        <v>29400</v>
      </c>
      <c r="M174" t="s">
        <v>45</v>
      </c>
      <c r="N174" t="s">
        <v>22</v>
      </c>
      <c r="O174" t="str">
        <f t="shared" si="8"/>
        <v>No</v>
      </c>
      <c r="P174" t="str">
        <f t="shared" si="9"/>
        <v>No</v>
      </c>
      <c r="Q174" t="str">
        <f t="shared" si="10"/>
        <v>Yes</v>
      </c>
      <c r="R174" t="str">
        <f t="shared" si="11"/>
        <v>Normal</v>
      </c>
    </row>
    <row r="175" spans="1:18" x14ac:dyDescent="0.35">
      <c r="A175" t="s">
        <v>252</v>
      </c>
      <c r="B175" s="2">
        <v>46221</v>
      </c>
      <c r="C175" t="s">
        <v>15</v>
      </c>
      <c r="D175" t="s">
        <v>48</v>
      </c>
      <c r="E175" t="s">
        <v>104</v>
      </c>
      <c r="F175" t="s">
        <v>68</v>
      </c>
      <c r="G175" t="s">
        <v>36</v>
      </c>
      <c r="H175" t="s">
        <v>37</v>
      </c>
      <c r="I175">
        <v>1</v>
      </c>
      <c r="J175" s="3">
        <v>187500</v>
      </c>
      <c r="K175" s="4">
        <v>0.2</v>
      </c>
      <c r="L175" s="3">
        <v>90500</v>
      </c>
      <c r="M175" t="s">
        <v>64</v>
      </c>
      <c r="N175" t="s">
        <v>38</v>
      </c>
      <c r="O175" t="str">
        <f t="shared" si="8"/>
        <v>Yes</v>
      </c>
      <c r="P175" t="str">
        <f t="shared" si="9"/>
        <v>No</v>
      </c>
      <c r="Q175" t="str">
        <f t="shared" si="10"/>
        <v>Yes</v>
      </c>
      <c r="R175" t="str">
        <f t="shared" si="11"/>
        <v>Priority</v>
      </c>
    </row>
    <row r="176" spans="1:18" x14ac:dyDescent="0.35">
      <c r="A176" t="s">
        <v>253</v>
      </c>
      <c r="B176" s="2">
        <v>46128</v>
      </c>
      <c r="C176" t="s">
        <v>57</v>
      </c>
      <c r="D176" t="s">
        <v>16</v>
      </c>
      <c r="E176" t="s">
        <v>17</v>
      </c>
      <c r="F176" t="s">
        <v>27</v>
      </c>
      <c r="G176" t="s">
        <v>19</v>
      </c>
      <c r="H176" t="s">
        <v>20</v>
      </c>
      <c r="I176">
        <v>8</v>
      </c>
      <c r="J176" s="3">
        <v>59100</v>
      </c>
      <c r="K176" s="4">
        <v>0.1</v>
      </c>
      <c r="L176" s="3">
        <v>31100</v>
      </c>
      <c r="M176" t="s">
        <v>64</v>
      </c>
      <c r="N176" t="s">
        <v>22</v>
      </c>
      <c r="O176" t="str">
        <f t="shared" si="8"/>
        <v>No</v>
      </c>
      <c r="P176" t="str">
        <f t="shared" si="9"/>
        <v>No</v>
      </c>
      <c r="Q176" t="str">
        <f t="shared" si="10"/>
        <v>Yes</v>
      </c>
      <c r="R176" t="str">
        <f t="shared" si="11"/>
        <v>Normal</v>
      </c>
    </row>
    <row r="177" spans="1:18" x14ac:dyDescent="0.35">
      <c r="A177" t="s">
        <v>254</v>
      </c>
      <c r="B177" s="2">
        <v>46140</v>
      </c>
      <c r="C177" t="s">
        <v>24</v>
      </c>
      <c r="D177" t="s">
        <v>25</v>
      </c>
      <c r="E177" t="s">
        <v>66</v>
      </c>
      <c r="F177" t="s">
        <v>58</v>
      </c>
      <c r="G177" t="s">
        <v>78</v>
      </c>
      <c r="H177" t="s">
        <v>37</v>
      </c>
      <c r="I177">
        <v>8</v>
      </c>
      <c r="J177" s="3">
        <v>510200</v>
      </c>
      <c r="K177" s="4">
        <v>0.1</v>
      </c>
      <c r="L177" s="3">
        <v>323500</v>
      </c>
      <c r="M177" t="s">
        <v>45</v>
      </c>
      <c r="N177" t="s">
        <v>38</v>
      </c>
      <c r="O177" t="str">
        <f t="shared" si="8"/>
        <v>No</v>
      </c>
      <c r="P177" t="str">
        <f t="shared" si="9"/>
        <v>No</v>
      </c>
      <c r="Q177" t="str">
        <f t="shared" si="10"/>
        <v>Yes</v>
      </c>
      <c r="R177" t="str">
        <f t="shared" si="11"/>
        <v>Normal</v>
      </c>
    </row>
    <row r="178" spans="1:18" x14ac:dyDescent="0.35">
      <c r="A178" t="s">
        <v>255</v>
      </c>
      <c r="B178" s="2">
        <v>46220</v>
      </c>
      <c r="C178" t="s">
        <v>60</v>
      </c>
      <c r="D178" t="s">
        <v>48</v>
      </c>
      <c r="E178" t="s">
        <v>165</v>
      </c>
      <c r="F178" t="s">
        <v>27</v>
      </c>
      <c r="G178" t="s">
        <v>53</v>
      </c>
      <c r="H178" t="s">
        <v>37</v>
      </c>
      <c r="I178">
        <v>9</v>
      </c>
      <c r="J178" s="3">
        <v>484300</v>
      </c>
      <c r="K178" s="4">
        <v>0.1</v>
      </c>
      <c r="L178" s="3">
        <v>579500</v>
      </c>
      <c r="M178" t="s">
        <v>45</v>
      </c>
      <c r="N178" t="s">
        <v>22</v>
      </c>
      <c r="O178" t="str">
        <f t="shared" si="8"/>
        <v>No</v>
      </c>
      <c r="P178" t="str">
        <f t="shared" si="9"/>
        <v>No</v>
      </c>
      <c r="Q178" t="str">
        <f t="shared" si="10"/>
        <v>Yes</v>
      </c>
      <c r="R178" t="str">
        <f t="shared" si="11"/>
        <v>Normal</v>
      </c>
    </row>
    <row r="179" spans="1:18" x14ac:dyDescent="0.35">
      <c r="A179" t="s">
        <v>256</v>
      </c>
      <c r="B179" s="2">
        <v>46252</v>
      </c>
      <c r="C179" t="s">
        <v>82</v>
      </c>
      <c r="D179" t="s">
        <v>33</v>
      </c>
      <c r="E179" t="s">
        <v>77</v>
      </c>
      <c r="F179" t="s">
        <v>35</v>
      </c>
      <c r="G179" t="s">
        <v>53</v>
      </c>
      <c r="H179" t="s">
        <v>37</v>
      </c>
      <c r="I179">
        <v>5</v>
      </c>
      <c r="J179" s="3">
        <v>404800</v>
      </c>
      <c r="K179" s="4">
        <v>0.15</v>
      </c>
      <c r="L179" s="3">
        <v>486800</v>
      </c>
      <c r="M179" t="s">
        <v>64</v>
      </c>
      <c r="N179" t="s">
        <v>22</v>
      </c>
      <c r="O179" t="str">
        <f t="shared" si="8"/>
        <v>No</v>
      </c>
      <c r="P179" t="str">
        <f t="shared" si="9"/>
        <v>No</v>
      </c>
      <c r="Q179" t="str">
        <f t="shared" si="10"/>
        <v>Yes</v>
      </c>
      <c r="R179" t="str">
        <f t="shared" si="11"/>
        <v>Normal</v>
      </c>
    </row>
    <row r="180" spans="1:18" x14ac:dyDescent="0.35">
      <c r="A180" t="s">
        <v>257</v>
      </c>
      <c r="B180" s="2">
        <v>46077</v>
      </c>
      <c r="C180" t="s">
        <v>47</v>
      </c>
      <c r="D180" t="s">
        <v>33</v>
      </c>
      <c r="E180" t="s">
        <v>34</v>
      </c>
      <c r="F180" t="s">
        <v>35</v>
      </c>
      <c r="G180" t="s">
        <v>28</v>
      </c>
      <c r="H180" t="s">
        <v>20</v>
      </c>
      <c r="I180">
        <v>6</v>
      </c>
      <c r="J180" s="3">
        <v>42300</v>
      </c>
      <c r="K180" s="4">
        <v>0.15</v>
      </c>
      <c r="L180" s="3">
        <v>21900</v>
      </c>
      <c r="M180" t="s">
        <v>29</v>
      </c>
      <c r="N180" t="s">
        <v>22</v>
      </c>
      <c r="O180" t="str">
        <f t="shared" si="8"/>
        <v>No</v>
      </c>
      <c r="P180" t="str">
        <f t="shared" si="9"/>
        <v>No</v>
      </c>
      <c r="Q180" t="str">
        <f t="shared" si="10"/>
        <v>No</v>
      </c>
      <c r="R180" t="str">
        <f t="shared" si="11"/>
        <v>Normal</v>
      </c>
    </row>
    <row r="181" spans="1:18" x14ac:dyDescent="0.35">
      <c r="A181" t="s">
        <v>258</v>
      </c>
      <c r="B181" s="2">
        <v>46186</v>
      </c>
      <c r="C181" t="s">
        <v>60</v>
      </c>
      <c r="D181" t="s">
        <v>33</v>
      </c>
      <c r="E181" t="s">
        <v>52</v>
      </c>
      <c r="F181" t="s">
        <v>18</v>
      </c>
      <c r="G181" t="s">
        <v>36</v>
      </c>
      <c r="H181" t="s">
        <v>37</v>
      </c>
      <c r="I181">
        <v>4</v>
      </c>
      <c r="J181" s="3">
        <v>107600</v>
      </c>
      <c r="K181" s="4">
        <v>0.1</v>
      </c>
      <c r="L181" s="3">
        <v>178600</v>
      </c>
      <c r="M181" t="s">
        <v>29</v>
      </c>
      <c r="N181" t="s">
        <v>38</v>
      </c>
      <c r="O181" t="str">
        <f t="shared" si="8"/>
        <v>No</v>
      </c>
      <c r="P181" t="str">
        <f t="shared" si="9"/>
        <v>No</v>
      </c>
      <c r="Q181" t="str">
        <f t="shared" si="10"/>
        <v>No</v>
      </c>
      <c r="R181" t="str">
        <f t="shared" si="11"/>
        <v>Normal</v>
      </c>
    </row>
    <row r="182" spans="1:18" x14ac:dyDescent="0.35">
      <c r="A182" t="s">
        <v>259</v>
      </c>
      <c r="B182" s="2">
        <v>46127</v>
      </c>
      <c r="C182" t="s">
        <v>86</v>
      </c>
      <c r="D182" t="s">
        <v>33</v>
      </c>
      <c r="E182" t="s">
        <v>77</v>
      </c>
      <c r="F182" t="s">
        <v>18</v>
      </c>
      <c r="G182" t="s">
        <v>102</v>
      </c>
      <c r="H182" t="s">
        <v>20</v>
      </c>
      <c r="I182">
        <v>1</v>
      </c>
      <c r="J182" s="3">
        <v>24400</v>
      </c>
      <c r="K182" s="4">
        <v>0.1</v>
      </c>
      <c r="L182" s="3">
        <v>16700</v>
      </c>
      <c r="M182" t="s">
        <v>64</v>
      </c>
      <c r="N182" t="s">
        <v>38</v>
      </c>
      <c r="O182" t="str">
        <f t="shared" si="8"/>
        <v>No</v>
      </c>
      <c r="P182" t="str">
        <f t="shared" si="9"/>
        <v>No</v>
      </c>
      <c r="Q182" t="str">
        <f t="shared" si="10"/>
        <v>Yes</v>
      </c>
      <c r="R182" t="str">
        <f t="shared" si="11"/>
        <v>Normal</v>
      </c>
    </row>
    <row r="183" spans="1:18" x14ac:dyDescent="0.35">
      <c r="A183" t="s">
        <v>260</v>
      </c>
      <c r="B183" s="2">
        <v>46256</v>
      </c>
      <c r="C183" t="s">
        <v>55</v>
      </c>
      <c r="D183" t="s">
        <v>33</v>
      </c>
      <c r="E183" t="s">
        <v>71</v>
      </c>
      <c r="F183" t="s">
        <v>35</v>
      </c>
      <c r="G183" t="s">
        <v>19</v>
      </c>
      <c r="H183" t="s">
        <v>20</v>
      </c>
      <c r="I183">
        <v>2</v>
      </c>
      <c r="J183" s="3">
        <v>74400</v>
      </c>
      <c r="K183" s="4">
        <v>0.05</v>
      </c>
      <c r="L183" s="3">
        <v>34300</v>
      </c>
      <c r="M183" t="s">
        <v>29</v>
      </c>
      <c r="N183" t="s">
        <v>38</v>
      </c>
      <c r="O183" t="str">
        <f t="shared" si="8"/>
        <v>No</v>
      </c>
      <c r="P183" t="str">
        <f t="shared" si="9"/>
        <v>No</v>
      </c>
      <c r="Q183" t="str">
        <f t="shared" si="10"/>
        <v>No</v>
      </c>
      <c r="R183" t="str">
        <f t="shared" si="11"/>
        <v>Normal</v>
      </c>
    </row>
    <row r="184" spans="1:18" x14ac:dyDescent="0.35">
      <c r="A184" t="s">
        <v>261</v>
      </c>
      <c r="B184" s="2">
        <v>46177</v>
      </c>
      <c r="C184" t="s">
        <v>51</v>
      </c>
      <c r="D184" t="s">
        <v>16</v>
      </c>
      <c r="E184" t="s">
        <v>87</v>
      </c>
      <c r="F184" t="s">
        <v>42</v>
      </c>
      <c r="G184" t="s">
        <v>102</v>
      </c>
      <c r="H184" t="s">
        <v>20</v>
      </c>
      <c r="I184">
        <v>5</v>
      </c>
      <c r="J184" s="3">
        <v>22800</v>
      </c>
      <c r="K184" s="4">
        <v>0.2</v>
      </c>
      <c r="L184" s="3">
        <v>4100</v>
      </c>
      <c r="M184" t="s">
        <v>21</v>
      </c>
      <c r="N184" t="s">
        <v>30</v>
      </c>
      <c r="O184" t="str">
        <f t="shared" si="8"/>
        <v>No</v>
      </c>
      <c r="P184" t="str">
        <f t="shared" si="9"/>
        <v>No</v>
      </c>
      <c r="Q184" t="str">
        <f t="shared" si="10"/>
        <v>No</v>
      </c>
      <c r="R184" t="str">
        <f t="shared" si="11"/>
        <v>Normal</v>
      </c>
    </row>
    <row r="185" spans="1:18" x14ac:dyDescent="0.35">
      <c r="A185" t="s">
        <v>262</v>
      </c>
      <c r="B185" s="2">
        <v>46230</v>
      </c>
      <c r="C185" t="s">
        <v>124</v>
      </c>
      <c r="D185" t="s">
        <v>33</v>
      </c>
      <c r="E185" t="s">
        <v>77</v>
      </c>
      <c r="F185" t="s">
        <v>68</v>
      </c>
      <c r="G185" t="s">
        <v>72</v>
      </c>
      <c r="H185" t="s">
        <v>44</v>
      </c>
      <c r="I185">
        <v>3</v>
      </c>
      <c r="J185" s="3">
        <v>400800</v>
      </c>
      <c r="K185" s="4">
        <v>0.1</v>
      </c>
      <c r="L185" s="3">
        <v>206400</v>
      </c>
      <c r="M185" t="s">
        <v>21</v>
      </c>
      <c r="N185" t="s">
        <v>38</v>
      </c>
      <c r="O185" t="str">
        <f t="shared" si="8"/>
        <v>No</v>
      </c>
      <c r="P185" t="str">
        <f t="shared" si="9"/>
        <v>No</v>
      </c>
      <c r="Q185" t="str">
        <f t="shared" si="10"/>
        <v>No</v>
      </c>
      <c r="R185" t="str">
        <f t="shared" si="11"/>
        <v>Normal</v>
      </c>
    </row>
    <row r="186" spans="1:18" x14ac:dyDescent="0.35">
      <c r="A186" t="s">
        <v>263</v>
      </c>
      <c r="B186" s="2">
        <v>46179</v>
      </c>
      <c r="C186" t="s">
        <v>99</v>
      </c>
      <c r="D186" t="s">
        <v>33</v>
      </c>
      <c r="E186" t="s">
        <v>52</v>
      </c>
      <c r="F186" t="s">
        <v>18</v>
      </c>
      <c r="G186" t="s">
        <v>78</v>
      </c>
      <c r="H186" t="s">
        <v>37</v>
      </c>
      <c r="I186">
        <v>5</v>
      </c>
      <c r="J186" s="3">
        <v>527100</v>
      </c>
      <c r="K186" s="4">
        <v>0.1</v>
      </c>
      <c r="L186" s="3">
        <v>469900</v>
      </c>
      <c r="M186" t="s">
        <v>64</v>
      </c>
      <c r="N186" t="s">
        <v>22</v>
      </c>
      <c r="O186" t="str">
        <f t="shared" si="8"/>
        <v>No</v>
      </c>
      <c r="P186" t="str">
        <f t="shared" si="9"/>
        <v>No</v>
      </c>
      <c r="Q186" t="str">
        <f t="shared" si="10"/>
        <v>Yes</v>
      </c>
      <c r="R186" t="str">
        <f t="shared" si="11"/>
        <v>Normal</v>
      </c>
    </row>
    <row r="187" spans="1:18" x14ac:dyDescent="0.35">
      <c r="A187" t="s">
        <v>264</v>
      </c>
      <c r="B187" s="2">
        <v>46024</v>
      </c>
      <c r="C187" t="s">
        <v>108</v>
      </c>
      <c r="D187" t="s">
        <v>33</v>
      </c>
      <c r="E187" t="s">
        <v>34</v>
      </c>
      <c r="F187" t="s">
        <v>42</v>
      </c>
      <c r="G187" t="s">
        <v>28</v>
      </c>
      <c r="H187" t="s">
        <v>20</v>
      </c>
      <c r="I187">
        <v>3</v>
      </c>
      <c r="J187" s="3">
        <v>44400</v>
      </c>
      <c r="K187" s="4">
        <v>0.1</v>
      </c>
      <c r="L187" s="3">
        <v>17700</v>
      </c>
      <c r="M187" t="s">
        <v>45</v>
      </c>
      <c r="N187" t="s">
        <v>38</v>
      </c>
      <c r="O187" t="str">
        <f t="shared" si="8"/>
        <v>No</v>
      </c>
      <c r="P187" t="str">
        <f t="shared" si="9"/>
        <v>No</v>
      </c>
      <c r="Q187" t="str">
        <f t="shared" si="10"/>
        <v>Yes</v>
      </c>
      <c r="R187" t="str">
        <f t="shared" si="11"/>
        <v>Normal</v>
      </c>
    </row>
    <row r="188" spans="1:18" x14ac:dyDescent="0.35">
      <c r="A188" t="s">
        <v>265</v>
      </c>
      <c r="B188" s="2">
        <v>46193</v>
      </c>
      <c r="C188" t="s">
        <v>99</v>
      </c>
      <c r="D188" t="s">
        <v>33</v>
      </c>
      <c r="E188" t="s">
        <v>71</v>
      </c>
      <c r="F188" t="s">
        <v>35</v>
      </c>
      <c r="G188" t="s">
        <v>19</v>
      </c>
      <c r="H188" t="s">
        <v>20</v>
      </c>
      <c r="I188">
        <v>5</v>
      </c>
      <c r="J188" s="3">
        <v>74400</v>
      </c>
      <c r="K188" s="4">
        <v>0.05</v>
      </c>
      <c r="L188" s="3">
        <v>52700</v>
      </c>
      <c r="M188" t="s">
        <v>21</v>
      </c>
      <c r="N188" t="s">
        <v>38</v>
      </c>
      <c r="O188" t="str">
        <f t="shared" si="8"/>
        <v>No</v>
      </c>
      <c r="P188" t="str">
        <f t="shared" si="9"/>
        <v>No</v>
      </c>
      <c r="Q188" t="str">
        <f t="shared" si="10"/>
        <v>No</v>
      </c>
      <c r="R188" t="str">
        <f t="shared" si="11"/>
        <v>Normal</v>
      </c>
    </row>
    <row r="189" spans="1:18" x14ac:dyDescent="0.35">
      <c r="A189" t="s">
        <v>266</v>
      </c>
      <c r="B189" s="2">
        <v>46145</v>
      </c>
      <c r="C189" t="s">
        <v>51</v>
      </c>
      <c r="D189" t="s">
        <v>48</v>
      </c>
      <c r="E189" t="s">
        <v>104</v>
      </c>
      <c r="F189" t="s">
        <v>68</v>
      </c>
      <c r="G189" t="s">
        <v>28</v>
      </c>
      <c r="H189" t="s">
        <v>20</v>
      </c>
      <c r="I189">
        <v>5</v>
      </c>
      <c r="J189" s="3">
        <v>22900</v>
      </c>
      <c r="K189" s="4">
        <v>0.1</v>
      </c>
      <c r="L189" s="3">
        <v>11700</v>
      </c>
      <c r="M189" t="s">
        <v>29</v>
      </c>
      <c r="N189" t="s">
        <v>38</v>
      </c>
      <c r="O189" t="str">
        <f t="shared" si="8"/>
        <v>Yes</v>
      </c>
      <c r="P189" t="str">
        <f t="shared" si="9"/>
        <v>No</v>
      </c>
      <c r="Q189" t="str">
        <f t="shared" si="10"/>
        <v>No</v>
      </c>
      <c r="R189" t="str">
        <f t="shared" si="11"/>
        <v>Priority</v>
      </c>
    </row>
    <row r="190" spans="1:18" x14ac:dyDescent="0.35">
      <c r="A190" t="s">
        <v>267</v>
      </c>
      <c r="B190" s="2">
        <v>46197</v>
      </c>
      <c r="C190" t="s">
        <v>74</v>
      </c>
      <c r="D190" t="s">
        <v>33</v>
      </c>
      <c r="E190" t="s">
        <v>77</v>
      </c>
      <c r="F190" t="s">
        <v>68</v>
      </c>
      <c r="G190" t="s">
        <v>72</v>
      </c>
      <c r="H190" t="s">
        <v>44</v>
      </c>
      <c r="I190">
        <v>9</v>
      </c>
      <c r="J190" s="3">
        <v>384700</v>
      </c>
      <c r="K190" s="4">
        <v>0.1</v>
      </c>
      <c r="L190" s="3">
        <v>302900</v>
      </c>
      <c r="M190" t="s">
        <v>21</v>
      </c>
      <c r="N190" t="s">
        <v>38</v>
      </c>
      <c r="O190" t="str">
        <f t="shared" si="8"/>
        <v>No</v>
      </c>
      <c r="P190" t="str">
        <f t="shared" si="9"/>
        <v>No</v>
      </c>
      <c r="Q190" t="str">
        <f t="shared" si="10"/>
        <v>No</v>
      </c>
      <c r="R190" t="str">
        <f t="shared" si="11"/>
        <v>Normal</v>
      </c>
    </row>
    <row r="191" spans="1:18" x14ac:dyDescent="0.35">
      <c r="A191" t="s">
        <v>268</v>
      </c>
      <c r="B191" s="2">
        <v>46169</v>
      </c>
      <c r="C191" t="s">
        <v>108</v>
      </c>
      <c r="D191" t="s">
        <v>33</v>
      </c>
      <c r="E191" t="s">
        <v>34</v>
      </c>
      <c r="F191" t="s">
        <v>58</v>
      </c>
      <c r="G191" t="s">
        <v>28</v>
      </c>
      <c r="H191" t="s">
        <v>20</v>
      </c>
      <c r="I191">
        <v>1</v>
      </c>
      <c r="J191" s="3">
        <v>39000</v>
      </c>
      <c r="K191" s="4">
        <v>0.1</v>
      </c>
      <c r="L191" s="3">
        <v>27700</v>
      </c>
      <c r="M191" t="s">
        <v>29</v>
      </c>
      <c r="N191" t="s">
        <v>38</v>
      </c>
      <c r="O191" t="str">
        <f t="shared" si="8"/>
        <v>No</v>
      </c>
      <c r="P191" t="str">
        <f t="shared" si="9"/>
        <v>No</v>
      </c>
      <c r="Q191" t="str">
        <f t="shared" si="10"/>
        <v>No</v>
      </c>
      <c r="R191" t="str">
        <f t="shared" si="11"/>
        <v>Normal</v>
      </c>
    </row>
    <row r="192" spans="1:18" x14ac:dyDescent="0.35">
      <c r="A192" t="s">
        <v>269</v>
      </c>
      <c r="B192" s="2">
        <v>46230</v>
      </c>
      <c r="C192" t="s">
        <v>108</v>
      </c>
      <c r="D192" t="s">
        <v>48</v>
      </c>
      <c r="E192" t="s">
        <v>49</v>
      </c>
      <c r="F192" t="s">
        <v>68</v>
      </c>
      <c r="G192" t="s">
        <v>36</v>
      </c>
      <c r="H192" t="s">
        <v>37</v>
      </c>
      <c r="I192">
        <v>10</v>
      </c>
      <c r="J192" s="3">
        <v>173300</v>
      </c>
      <c r="K192" s="4">
        <v>0.15</v>
      </c>
      <c r="L192" s="3">
        <v>177900</v>
      </c>
      <c r="M192" t="s">
        <v>21</v>
      </c>
      <c r="N192" t="s">
        <v>38</v>
      </c>
      <c r="O192" t="str">
        <f t="shared" si="8"/>
        <v>Yes</v>
      </c>
      <c r="P192" t="str">
        <f t="shared" si="9"/>
        <v>Yes</v>
      </c>
      <c r="Q192" t="str">
        <f t="shared" si="10"/>
        <v>No</v>
      </c>
      <c r="R192" t="str">
        <f t="shared" si="11"/>
        <v>Priority</v>
      </c>
    </row>
    <row r="193" spans="1:18" x14ac:dyDescent="0.35">
      <c r="A193" t="s">
        <v>270</v>
      </c>
      <c r="B193" s="2">
        <v>46124</v>
      </c>
      <c r="C193" t="s">
        <v>108</v>
      </c>
      <c r="D193" t="s">
        <v>48</v>
      </c>
      <c r="E193" t="s">
        <v>83</v>
      </c>
      <c r="F193" t="s">
        <v>58</v>
      </c>
      <c r="G193" t="s">
        <v>19</v>
      </c>
      <c r="H193" t="s">
        <v>20</v>
      </c>
      <c r="I193">
        <v>9</v>
      </c>
      <c r="J193" s="3">
        <v>65800</v>
      </c>
      <c r="K193" s="4">
        <v>0.05</v>
      </c>
      <c r="L193" s="3">
        <v>57300</v>
      </c>
      <c r="M193" t="s">
        <v>45</v>
      </c>
      <c r="N193" t="s">
        <v>22</v>
      </c>
      <c r="O193" t="str">
        <f t="shared" si="8"/>
        <v>No</v>
      </c>
      <c r="P193" t="str">
        <f t="shared" si="9"/>
        <v>No</v>
      </c>
      <c r="Q193" t="str">
        <f t="shared" si="10"/>
        <v>Yes</v>
      </c>
      <c r="R193" t="str">
        <f t="shared" si="11"/>
        <v>Normal</v>
      </c>
    </row>
    <row r="194" spans="1:18" x14ac:dyDescent="0.35">
      <c r="A194" t="s">
        <v>271</v>
      </c>
      <c r="B194" s="2">
        <v>46262</v>
      </c>
      <c r="C194" t="s">
        <v>55</v>
      </c>
      <c r="D194" t="s">
        <v>16</v>
      </c>
      <c r="E194" t="s">
        <v>17</v>
      </c>
      <c r="F194" t="s">
        <v>42</v>
      </c>
      <c r="G194" t="s">
        <v>78</v>
      </c>
      <c r="H194" t="s">
        <v>37</v>
      </c>
      <c r="I194">
        <v>2</v>
      </c>
      <c r="J194" s="3">
        <v>516500</v>
      </c>
      <c r="K194" s="4">
        <v>0.05</v>
      </c>
      <c r="L194" s="3">
        <v>239900</v>
      </c>
      <c r="M194" t="s">
        <v>64</v>
      </c>
      <c r="N194" t="s">
        <v>38</v>
      </c>
      <c r="O194" t="str">
        <f t="shared" si="8"/>
        <v>No</v>
      </c>
      <c r="P194" t="str">
        <f t="shared" si="9"/>
        <v>No</v>
      </c>
      <c r="Q194" t="str">
        <f t="shared" si="10"/>
        <v>Yes</v>
      </c>
      <c r="R194" t="str">
        <f t="shared" si="11"/>
        <v>Normal</v>
      </c>
    </row>
    <row r="195" spans="1:18" x14ac:dyDescent="0.35">
      <c r="A195" t="s">
        <v>272</v>
      </c>
      <c r="B195" s="2">
        <v>46119</v>
      </c>
      <c r="C195" t="s">
        <v>86</v>
      </c>
      <c r="D195" t="s">
        <v>25</v>
      </c>
      <c r="E195" t="s">
        <v>66</v>
      </c>
      <c r="F195" t="s">
        <v>68</v>
      </c>
      <c r="G195" t="s">
        <v>43</v>
      </c>
      <c r="H195" t="s">
        <v>44</v>
      </c>
      <c r="I195">
        <v>6</v>
      </c>
      <c r="J195" s="3">
        <v>596800</v>
      </c>
      <c r="K195" s="4">
        <v>0.15</v>
      </c>
      <c r="L195" s="3">
        <v>233900</v>
      </c>
      <c r="M195" t="s">
        <v>21</v>
      </c>
      <c r="N195" t="s">
        <v>38</v>
      </c>
      <c r="O195" t="str">
        <f t="shared" ref="O195:O258" si="12">IF(AND(D195="East", N195="Completed"), "Yes", "No")</f>
        <v>No</v>
      </c>
      <c r="P195" t="str">
        <f t="shared" ref="P195:P258" si="13">IF(AND(I195&gt;=10,N195="Completed"), "Yes", "No")</f>
        <v>No</v>
      </c>
      <c r="Q195" t="str">
        <f t="shared" ref="Q195:Q258" si="14">IF(OR(M195="Cash", M195="USSD"), "Yes", "No")</f>
        <v>No</v>
      </c>
      <c r="R195" t="str">
        <f t="shared" ref="R195:R258" si="15">IF(OR(AND(D195= "East", N195= "Completed"), M195= "Online"), "Priority", "Normal")</f>
        <v>Normal</v>
      </c>
    </row>
    <row r="196" spans="1:18" x14ac:dyDescent="0.35">
      <c r="A196" t="s">
        <v>273</v>
      </c>
      <c r="B196" s="2">
        <v>46236</v>
      </c>
      <c r="C196" t="s">
        <v>89</v>
      </c>
      <c r="D196" t="s">
        <v>25</v>
      </c>
      <c r="E196" t="s">
        <v>113</v>
      </c>
      <c r="F196" t="s">
        <v>18</v>
      </c>
      <c r="G196" t="s">
        <v>102</v>
      </c>
      <c r="H196" t="s">
        <v>20</v>
      </c>
      <c r="I196">
        <v>9</v>
      </c>
      <c r="J196" s="3">
        <v>14100</v>
      </c>
      <c r="K196" s="4">
        <v>0.1</v>
      </c>
      <c r="L196" s="3">
        <v>5700</v>
      </c>
      <c r="M196" t="s">
        <v>21</v>
      </c>
      <c r="N196" t="s">
        <v>22</v>
      </c>
      <c r="O196" t="str">
        <f t="shared" si="12"/>
        <v>No</v>
      </c>
      <c r="P196" t="str">
        <f t="shared" si="13"/>
        <v>No</v>
      </c>
      <c r="Q196" t="str">
        <f t="shared" si="14"/>
        <v>No</v>
      </c>
      <c r="R196" t="str">
        <f t="shared" si="15"/>
        <v>Normal</v>
      </c>
    </row>
    <row r="197" spans="1:18" x14ac:dyDescent="0.35">
      <c r="A197" t="s">
        <v>274</v>
      </c>
      <c r="B197" s="2">
        <v>46071</v>
      </c>
      <c r="C197" t="s">
        <v>106</v>
      </c>
      <c r="D197" t="s">
        <v>48</v>
      </c>
      <c r="E197" t="s">
        <v>83</v>
      </c>
      <c r="F197" t="s">
        <v>58</v>
      </c>
      <c r="G197" t="s">
        <v>43</v>
      </c>
      <c r="H197" t="s">
        <v>44</v>
      </c>
      <c r="I197">
        <v>4</v>
      </c>
      <c r="J197" s="3">
        <v>261400</v>
      </c>
      <c r="K197" s="4">
        <v>0.1</v>
      </c>
      <c r="L197" s="3">
        <v>221200</v>
      </c>
      <c r="M197" t="s">
        <v>21</v>
      </c>
      <c r="N197" t="s">
        <v>38</v>
      </c>
      <c r="O197" t="str">
        <f t="shared" si="12"/>
        <v>Yes</v>
      </c>
      <c r="P197" t="str">
        <f t="shared" si="13"/>
        <v>No</v>
      </c>
      <c r="Q197" t="str">
        <f t="shared" si="14"/>
        <v>No</v>
      </c>
      <c r="R197" t="str">
        <f t="shared" si="15"/>
        <v>Priority</v>
      </c>
    </row>
    <row r="198" spans="1:18" x14ac:dyDescent="0.35">
      <c r="A198" t="s">
        <v>275</v>
      </c>
      <c r="B198" s="2">
        <v>46085</v>
      </c>
      <c r="C198" t="s">
        <v>86</v>
      </c>
      <c r="D198" t="s">
        <v>16</v>
      </c>
      <c r="E198" t="s">
        <v>41</v>
      </c>
      <c r="F198" t="s">
        <v>27</v>
      </c>
      <c r="G198" t="s">
        <v>28</v>
      </c>
      <c r="H198" t="s">
        <v>20</v>
      </c>
      <c r="I198">
        <v>2</v>
      </c>
      <c r="J198" s="3">
        <v>30800</v>
      </c>
      <c r="K198" s="4">
        <v>0.05</v>
      </c>
      <c r="L198" s="3">
        <v>17000</v>
      </c>
      <c r="M198" t="s">
        <v>21</v>
      </c>
      <c r="N198" t="s">
        <v>38</v>
      </c>
      <c r="O198" t="str">
        <f t="shared" si="12"/>
        <v>No</v>
      </c>
      <c r="P198" t="str">
        <f t="shared" si="13"/>
        <v>No</v>
      </c>
      <c r="Q198" t="str">
        <f t="shared" si="14"/>
        <v>No</v>
      </c>
      <c r="R198" t="str">
        <f t="shared" si="15"/>
        <v>Normal</v>
      </c>
    </row>
    <row r="199" spans="1:18" x14ac:dyDescent="0.35">
      <c r="A199" t="s">
        <v>276</v>
      </c>
      <c r="B199" s="2">
        <v>46170</v>
      </c>
      <c r="C199" t="s">
        <v>57</v>
      </c>
      <c r="D199" t="s">
        <v>25</v>
      </c>
      <c r="E199" t="s">
        <v>26</v>
      </c>
      <c r="F199" t="s">
        <v>27</v>
      </c>
      <c r="G199" t="s">
        <v>53</v>
      </c>
      <c r="H199" t="s">
        <v>37</v>
      </c>
      <c r="I199">
        <v>4</v>
      </c>
      <c r="J199" s="3">
        <v>717100</v>
      </c>
      <c r="K199" s="4">
        <v>0.1</v>
      </c>
      <c r="L199" s="3">
        <v>506000</v>
      </c>
      <c r="M199" t="s">
        <v>45</v>
      </c>
      <c r="N199" t="s">
        <v>38</v>
      </c>
      <c r="O199" t="str">
        <f t="shared" si="12"/>
        <v>No</v>
      </c>
      <c r="P199" t="str">
        <f t="shared" si="13"/>
        <v>No</v>
      </c>
      <c r="Q199" t="str">
        <f t="shared" si="14"/>
        <v>Yes</v>
      </c>
      <c r="R199" t="str">
        <f t="shared" si="15"/>
        <v>Normal</v>
      </c>
    </row>
    <row r="200" spans="1:18" x14ac:dyDescent="0.35">
      <c r="A200" t="s">
        <v>277</v>
      </c>
      <c r="B200" s="2">
        <v>46183</v>
      </c>
      <c r="C200" t="s">
        <v>47</v>
      </c>
      <c r="D200" t="s">
        <v>25</v>
      </c>
      <c r="E200" t="s">
        <v>100</v>
      </c>
      <c r="F200" t="s">
        <v>35</v>
      </c>
      <c r="G200" t="s">
        <v>53</v>
      </c>
      <c r="H200" t="s">
        <v>37</v>
      </c>
      <c r="I200">
        <v>1</v>
      </c>
      <c r="J200" s="3">
        <v>600500</v>
      </c>
      <c r="K200" s="4">
        <v>0.1</v>
      </c>
      <c r="L200" s="3">
        <v>457100</v>
      </c>
      <c r="M200" t="s">
        <v>64</v>
      </c>
      <c r="N200" t="s">
        <v>38</v>
      </c>
      <c r="O200" t="str">
        <f t="shared" si="12"/>
        <v>No</v>
      </c>
      <c r="P200" t="str">
        <f t="shared" si="13"/>
        <v>No</v>
      </c>
      <c r="Q200" t="str">
        <f t="shared" si="14"/>
        <v>Yes</v>
      </c>
      <c r="R200" t="str">
        <f t="shared" si="15"/>
        <v>Normal</v>
      </c>
    </row>
    <row r="201" spans="1:18" x14ac:dyDescent="0.35">
      <c r="A201" t="s">
        <v>278</v>
      </c>
      <c r="B201" s="2">
        <v>46216</v>
      </c>
      <c r="C201" t="s">
        <v>24</v>
      </c>
      <c r="D201" t="s">
        <v>33</v>
      </c>
      <c r="E201" t="s">
        <v>77</v>
      </c>
      <c r="F201" t="s">
        <v>58</v>
      </c>
      <c r="G201" t="s">
        <v>78</v>
      </c>
      <c r="H201" t="s">
        <v>37</v>
      </c>
      <c r="I201">
        <v>7</v>
      </c>
      <c r="J201" s="3">
        <v>463300</v>
      </c>
      <c r="K201" s="4">
        <v>0.1</v>
      </c>
      <c r="L201" s="3">
        <v>319000</v>
      </c>
      <c r="M201" t="s">
        <v>64</v>
      </c>
      <c r="N201" t="s">
        <v>38</v>
      </c>
      <c r="O201" t="str">
        <f t="shared" si="12"/>
        <v>No</v>
      </c>
      <c r="P201" t="str">
        <f t="shared" si="13"/>
        <v>No</v>
      </c>
      <c r="Q201" t="str">
        <f t="shared" si="14"/>
        <v>Yes</v>
      </c>
      <c r="R201" t="str">
        <f t="shared" si="15"/>
        <v>Normal</v>
      </c>
    </row>
    <row r="202" spans="1:18" x14ac:dyDescent="0.35">
      <c r="A202" t="s">
        <v>279</v>
      </c>
      <c r="B202" s="2">
        <v>46057</v>
      </c>
      <c r="C202" t="s">
        <v>57</v>
      </c>
      <c r="D202" t="s">
        <v>33</v>
      </c>
      <c r="E202" t="s">
        <v>52</v>
      </c>
      <c r="F202" t="s">
        <v>42</v>
      </c>
      <c r="G202" t="s">
        <v>19</v>
      </c>
      <c r="H202" t="s">
        <v>20</v>
      </c>
      <c r="I202">
        <v>9</v>
      </c>
      <c r="J202" s="3">
        <v>63600</v>
      </c>
      <c r="K202" s="4">
        <v>0.2</v>
      </c>
      <c r="L202" s="3">
        <v>41700</v>
      </c>
      <c r="M202" t="s">
        <v>64</v>
      </c>
      <c r="N202" t="s">
        <v>38</v>
      </c>
      <c r="O202" t="str">
        <f t="shared" si="12"/>
        <v>No</v>
      </c>
      <c r="P202" t="str">
        <f t="shared" si="13"/>
        <v>No</v>
      </c>
      <c r="Q202" t="str">
        <f t="shared" si="14"/>
        <v>Yes</v>
      </c>
      <c r="R202" t="str">
        <f t="shared" si="15"/>
        <v>Normal</v>
      </c>
    </row>
    <row r="203" spans="1:18" x14ac:dyDescent="0.35">
      <c r="A203" t="s">
        <v>280</v>
      </c>
      <c r="B203" s="2">
        <v>46091</v>
      </c>
      <c r="C203" t="s">
        <v>55</v>
      </c>
      <c r="D203" t="s">
        <v>33</v>
      </c>
      <c r="E203" t="s">
        <v>34</v>
      </c>
      <c r="F203" t="s">
        <v>42</v>
      </c>
      <c r="G203" t="s">
        <v>78</v>
      </c>
      <c r="H203" t="s">
        <v>37</v>
      </c>
      <c r="I203">
        <v>2</v>
      </c>
      <c r="J203" s="3">
        <v>514300</v>
      </c>
      <c r="K203" s="4">
        <v>0.05</v>
      </c>
      <c r="L203" s="3">
        <v>493700</v>
      </c>
      <c r="M203" t="s">
        <v>64</v>
      </c>
      <c r="N203" t="s">
        <v>38</v>
      </c>
      <c r="O203" t="str">
        <f t="shared" si="12"/>
        <v>No</v>
      </c>
      <c r="P203" t="str">
        <f t="shared" si="13"/>
        <v>No</v>
      </c>
      <c r="Q203" t="str">
        <f t="shared" si="14"/>
        <v>Yes</v>
      </c>
      <c r="R203" t="str">
        <f t="shared" si="15"/>
        <v>Normal</v>
      </c>
    </row>
    <row r="204" spans="1:18" x14ac:dyDescent="0.35">
      <c r="A204" t="s">
        <v>281</v>
      </c>
      <c r="B204" s="2">
        <v>46255</v>
      </c>
      <c r="C204" t="s">
        <v>74</v>
      </c>
      <c r="D204" t="s">
        <v>16</v>
      </c>
      <c r="E204" t="s">
        <v>17</v>
      </c>
      <c r="F204" t="s">
        <v>27</v>
      </c>
      <c r="G204" t="s">
        <v>36</v>
      </c>
      <c r="H204" t="s">
        <v>37</v>
      </c>
      <c r="I204">
        <v>8</v>
      </c>
      <c r="J204" s="3">
        <v>131300</v>
      </c>
      <c r="K204" s="4">
        <v>0.1</v>
      </c>
      <c r="L204" s="3">
        <v>178800</v>
      </c>
      <c r="M204" t="s">
        <v>21</v>
      </c>
      <c r="N204" t="s">
        <v>38</v>
      </c>
      <c r="O204" t="str">
        <f t="shared" si="12"/>
        <v>No</v>
      </c>
      <c r="P204" t="str">
        <f t="shared" si="13"/>
        <v>No</v>
      </c>
      <c r="Q204" t="str">
        <f t="shared" si="14"/>
        <v>No</v>
      </c>
      <c r="R204" t="str">
        <f t="shared" si="15"/>
        <v>Normal</v>
      </c>
    </row>
    <row r="205" spans="1:18" x14ac:dyDescent="0.35">
      <c r="A205" t="s">
        <v>282</v>
      </c>
      <c r="B205" s="2">
        <v>46120</v>
      </c>
      <c r="C205" t="s">
        <v>55</v>
      </c>
      <c r="D205" t="s">
        <v>16</v>
      </c>
      <c r="E205" t="s">
        <v>87</v>
      </c>
      <c r="F205" t="s">
        <v>27</v>
      </c>
      <c r="G205" t="s">
        <v>36</v>
      </c>
      <c r="H205" t="s">
        <v>37</v>
      </c>
      <c r="I205">
        <v>7</v>
      </c>
      <c r="J205" s="3">
        <v>237300</v>
      </c>
      <c r="K205" s="4">
        <v>0.1</v>
      </c>
      <c r="L205" s="3">
        <v>136200</v>
      </c>
      <c r="M205" t="s">
        <v>64</v>
      </c>
      <c r="N205" t="s">
        <v>38</v>
      </c>
      <c r="O205" t="str">
        <f t="shared" si="12"/>
        <v>No</v>
      </c>
      <c r="P205" t="str">
        <f t="shared" si="13"/>
        <v>No</v>
      </c>
      <c r="Q205" t="str">
        <f t="shared" si="14"/>
        <v>Yes</v>
      </c>
      <c r="R205" t="str">
        <f t="shared" si="15"/>
        <v>Normal</v>
      </c>
    </row>
    <row r="206" spans="1:18" x14ac:dyDescent="0.35">
      <c r="A206" t="s">
        <v>283</v>
      </c>
      <c r="B206" s="2">
        <v>46217</v>
      </c>
      <c r="C206" t="s">
        <v>70</v>
      </c>
      <c r="D206" t="s">
        <v>33</v>
      </c>
      <c r="E206" t="s">
        <v>71</v>
      </c>
      <c r="F206" t="s">
        <v>35</v>
      </c>
      <c r="G206" t="s">
        <v>72</v>
      </c>
      <c r="H206" t="s">
        <v>44</v>
      </c>
      <c r="I206">
        <v>8</v>
      </c>
      <c r="J206" s="3">
        <v>152500</v>
      </c>
      <c r="K206" s="4">
        <v>0.15</v>
      </c>
      <c r="L206" s="3">
        <v>345000</v>
      </c>
      <c r="M206" t="s">
        <v>45</v>
      </c>
      <c r="N206" t="s">
        <v>30</v>
      </c>
      <c r="O206" t="str">
        <f t="shared" si="12"/>
        <v>No</v>
      </c>
      <c r="P206" t="str">
        <f t="shared" si="13"/>
        <v>No</v>
      </c>
      <c r="Q206" t="str">
        <f t="shared" si="14"/>
        <v>Yes</v>
      </c>
      <c r="R206" t="str">
        <f t="shared" si="15"/>
        <v>Normal</v>
      </c>
    </row>
    <row r="207" spans="1:18" x14ac:dyDescent="0.35">
      <c r="A207" t="s">
        <v>284</v>
      </c>
      <c r="B207" s="2">
        <v>46171</v>
      </c>
      <c r="C207" t="s">
        <v>70</v>
      </c>
      <c r="D207" t="s">
        <v>33</v>
      </c>
      <c r="E207" t="s">
        <v>77</v>
      </c>
      <c r="F207" t="s">
        <v>18</v>
      </c>
      <c r="G207" t="s">
        <v>36</v>
      </c>
      <c r="H207" t="s">
        <v>37</v>
      </c>
      <c r="I207">
        <v>3</v>
      </c>
      <c r="J207" s="3">
        <v>102400</v>
      </c>
      <c r="K207" s="4">
        <v>0.2</v>
      </c>
      <c r="L207" s="3">
        <v>136400</v>
      </c>
      <c r="M207" t="s">
        <v>64</v>
      </c>
      <c r="N207" t="s">
        <v>38</v>
      </c>
      <c r="O207" t="str">
        <f t="shared" si="12"/>
        <v>No</v>
      </c>
      <c r="P207" t="str">
        <f t="shared" si="13"/>
        <v>No</v>
      </c>
      <c r="Q207" t="str">
        <f t="shared" si="14"/>
        <v>Yes</v>
      </c>
      <c r="R207" t="str">
        <f t="shared" si="15"/>
        <v>Normal</v>
      </c>
    </row>
    <row r="208" spans="1:18" x14ac:dyDescent="0.35">
      <c r="A208" t="s">
        <v>285</v>
      </c>
      <c r="B208" s="2">
        <v>46088</v>
      </c>
      <c r="C208" t="s">
        <v>55</v>
      </c>
      <c r="D208" t="s">
        <v>33</v>
      </c>
      <c r="E208" t="s">
        <v>52</v>
      </c>
      <c r="F208" t="s">
        <v>42</v>
      </c>
      <c r="G208" t="s">
        <v>36</v>
      </c>
      <c r="H208" t="s">
        <v>37</v>
      </c>
      <c r="I208">
        <v>8</v>
      </c>
      <c r="J208" s="3">
        <v>182600</v>
      </c>
      <c r="K208" s="4">
        <v>0.1</v>
      </c>
      <c r="L208" s="3">
        <v>183200</v>
      </c>
      <c r="M208" t="s">
        <v>64</v>
      </c>
      <c r="N208" t="s">
        <v>30</v>
      </c>
      <c r="O208" t="str">
        <f t="shared" si="12"/>
        <v>No</v>
      </c>
      <c r="P208" t="str">
        <f t="shared" si="13"/>
        <v>No</v>
      </c>
      <c r="Q208" t="str">
        <f t="shared" si="14"/>
        <v>Yes</v>
      </c>
      <c r="R208" t="str">
        <f t="shared" si="15"/>
        <v>Normal</v>
      </c>
    </row>
    <row r="209" spans="1:18" x14ac:dyDescent="0.35">
      <c r="A209" t="s">
        <v>286</v>
      </c>
      <c r="B209" s="2">
        <v>46257</v>
      </c>
      <c r="C209" t="s">
        <v>82</v>
      </c>
      <c r="D209" t="s">
        <v>48</v>
      </c>
      <c r="E209" t="s">
        <v>165</v>
      </c>
      <c r="F209" t="s">
        <v>68</v>
      </c>
      <c r="G209" t="s">
        <v>78</v>
      </c>
      <c r="H209" t="s">
        <v>37</v>
      </c>
      <c r="I209">
        <v>3</v>
      </c>
      <c r="J209" s="3">
        <v>356000</v>
      </c>
      <c r="K209" s="4">
        <v>0.1</v>
      </c>
      <c r="L209" s="3">
        <v>400400</v>
      </c>
      <c r="M209" t="s">
        <v>21</v>
      </c>
      <c r="N209" t="s">
        <v>38</v>
      </c>
      <c r="O209" t="str">
        <f t="shared" si="12"/>
        <v>Yes</v>
      </c>
      <c r="P209" t="str">
        <f t="shared" si="13"/>
        <v>No</v>
      </c>
      <c r="Q209" t="str">
        <f t="shared" si="14"/>
        <v>No</v>
      </c>
      <c r="R209" t="str">
        <f t="shared" si="15"/>
        <v>Priority</v>
      </c>
    </row>
    <row r="210" spans="1:18" x14ac:dyDescent="0.35">
      <c r="A210" t="s">
        <v>287</v>
      </c>
      <c r="B210" s="2">
        <v>46152</v>
      </c>
      <c r="C210" t="s">
        <v>32</v>
      </c>
      <c r="D210" t="s">
        <v>16</v>
      </c>
      <c r="E210" t="s">
        <v>17</v>
      </c>
      <c r="F210" t="s">
        <v>42</v>
      </c>
      <c r="G210" t="s">
        <v>102</v>
      </c>
      <c r="H210" t="s">
        <v>20</v>
      </c>
      <c r="I210">
        <v>4</v>
      </c>
      <c r="J210" s="3">
        <v>8200</v>
      </c>
      <c r="K210" s="4">
        <v>0.1</v>
      </c>
      <c r="L210" s="3">
        <v>6000</v>
      </c>
      <c r="M210" t="s">
        <v>64</v>
      </c>
      <c r="N210" t="s">
        <v>38</v>
      </c>
      <c r="O210" t="str">
        <f t="shared" si="12"/>
        <v>No</v>
      </c>
      <c r="P210" t="str">
        <f t="shared" si="13"/>
        <v>No</v>
      </c>
      <c r="Q210" t="str">
        <f t="shared" si="14"/>
        <v>Yes</v>
      </c>
      <c r="R210" t="str">
        <f t="shared" si="15"/>
        <v>Normal</v>
      </c>
    </row>
    <row r="211" spans="1:18" x14ac:dyDescent="0.35">
      <c r="A211" t="s">
        <v>288</v>
      </c>
      <c r="B211" s="2">
        <v>46207</v>
      </c>
      <c r="C211" t="s">
        <v>74</v>
      </c>
      <c r="D211" t="s">
        <v>48</v>
      </c>
      <c r="E211" t="s">
        <v>83</v>
      </c>
      <c r="F211" t="s">
        <v>18</v>
      </c>
      <c r="G211" t="s">
        <v>19</v>
      </c>
      <c r="H211" t="s">
        <v>20</v>
      </c>
      <c r="I211">
        <v>9</v>
      </c>
      <c r="J211" s="3">
        <v>69800</v>
      </c>
      <c r="K211" s="4">
        <v>0.2</v>
      </c>
      <c r="L211" s="3">
        <v>25500</v>
      </c>
      <c r="M211" t="s">
        <v>45</v>
      </c>
      <c r="N211" t="s">
        <v>38</v>
      </c>
      <c r="O211" t="str">
        <f t="shared" si="12"/>
        <v>Yes</v>
      </c>
      <c r="P211" t="str">
        <f t="shared" si="13"/>
        <v>No</v>
      </c>
      <c r="Q211" t="str">
        <f t="shared" si="14"/>
        <v>Yes</v>
      </c>
      <c r="R211" t="str">
        <f t="shared" si="15"/>
        <v>Priority</v>
      </c>
    </row>
    <row r="212" spans="1:18" x14ac:dyDescent="0.35">
      <c r="A212" t="s">
        <v>289</v>
      </c>
      <c r="B212" s="2">
        <v>46157</v>
      </c>
      <c r="C212" t="s">
        <v>106</v>
      </c>
      <c r="D212" t="s">
        <v>16</v>
      </c>
      <c r="E212" t="s">
        <v>87</v>
      </c>
      <c r="F212" t="s">
        <v>27</v>
      </c>
      <c r="G212" t="s">
        <v>28</v>
      </c>
      <c r="H212" t="s">
        <v>20</v>
      </c>
      <c r="I212">
        <v>2</v>
      </c>
      <c r="J212" s="3">
        <v>28400</v>
      </c>
      <c r="K212" s="4">
        <v>0.2</v>
      </c>
      <c r="L212" s="3">
        <v>12200</v>
      </c>
      <c r="M212" t="s">
        <v>45</v>
      </c>
      <c r="N212" t="s">
        <v>22</v>
      </c>
      <c r="O212" t="str">
        <f t="shared" si="12"/>
        <v>No</v>
      </c>
      <c r="P212" t="str">
        <f t="shared" si="13"/>
        <v>No</v>
      </c>
      <c r="Q212" t="str">
        <f t="shared" si="14"/>
        <v>Yes</v>
      </c>
      <c r="R212" t="str">
        <f t="shared" si="15"/>
        <v>Normal</v>
      </c>
    </row>
    <row r="213" spans="1:18" x14ac:dyDescent="0.35">
      <c r="A213" t="s">
        <v>290</v>
      </c>
      <c r="B213" s="2">
        <v>46099</v>
      </c>
      <c r="C213" t="s">
        <v>60</v>
      </c>
      <c r="D213" t="s">
        <v>48</v>
      </c>
      <c r="E213" t="s">
        <v>49</v>
      </c>
      <c r="F213" t="s">
        <v>35</v>
      </c>
      <c r="G213" t="s">
        <v>43</v>
      </c>
      <c r="H213" t="s">
        <v>44</v>
      </c>
      <c r="I213">
        <v>8</v>
      </c>
      <c r="J213" s="3">
        <v>404300</v>
      </c>
      <c r="K213" s="4">
        <v>0.1</v>
      </c>
      <c r="L213" s="3">
        <v>446600</v>
      </c>
      <c r="M213" t="s">
        <v>21</v>
      </c>
      <c r="N213" t="s">
        <v>38</v>
      </c>
      <c r="O213" t="str">
        <f t="shared" si="12"/>
        <v>Yes</v>
      </c>
      <c r="P213" t="str">
        <f t="shared" si="13"/>
        <v>No</v>
      </c>
      <c r="Q213" t="str">
        <f t="shared" si="14"/>
        <v>No</v>
      </c>
      <c r="R213" t="str">
        <f t="shared" si="15"/>
        <v>Priority</v>
      </c>
    </row>
    <row r="214" spans="1:18" x14ac:dyDescent="0.35">
      <c r="A214" t="s">
        <v>291</v>
      </c>
      <c r="B214" s="2">
        <v>46044</v>
      </c>
      <c r="C214" t="s">
        <v>24</v>
      </c>
      <c r="D214" t="s">
        <v>16</v>
      </c>
      <c r="E214" t="s">
        <v>87</v>
      </c>
      <c r="F214" t="s">
        <v>42</v>
      </c>
      <c r="G214" t="s">
        <v>43</v>
      </c>
      <c r="H214" t="s">
        <v>44</v>
      </c>
      <c r="I214">
        <v>9</v>
      </c>
      <c r="J214" s="3">
        <v>364200</v>
      </c>
      <c r="K214" s="4">
        <v>0.1</v>
      </c>
      <c r="L214" s="3">
        <v>322900</v>
      </c>
      <c r="M214" t="s">
        <v>64</v>
      </c>
      <c r="N214" t="s">
        <v>22</v>
      </c>
      <c r="O214" t="str">
        <f t="shared" si="12"/>
        <v>No</v>
      </c>
      <c r="P214" t="str">
        <f t="shared" si="13"/>
        <v>No</v>
      </c>
      <c r="Q214" t="str">
        <f t="shared" si="14"/>
        <v>Yes</v>
      </c>
      <c r="R214" t="str">
        <f t="shared" si="15"/>
        <v>Normal</v>
      </c>
    </row>
    <row r="215" spans="1:18" x14ac:dyDescent="0.35">
      <c r="A215" t="s">
        <v>292</v>
      </c>
      <c r="B215" s="2">
        <v>46198</v>
      </c>
      <c r="C215" t="s">
        <v>124</v>
      </c>
      <c r="D215" t="s">
        <v>16</v>
      </c>
      <c r="E215" t="s">
        <v>17</v>
      </c>
      <c r="F215" t="s">
        <v>27</v>
      </c>
      <c r="G215" t="s">
        <v>36</v>
      </c>
      <c r="H215" t="s">
        <v>37</v>
      </c>
      <c r="I215">
        <v>10</v>
      </c>
      <c r="J215" s="3">
        <v>171300</v>
      </c>
      <c r="K215" s="4">
        <v>0.05</v>
      </c>
      <c r="L215" s="3">
        <v>75600</v>
      </c>
      <c r="M215" t="s">
        <v>45</v>
      </c>
      <c r="N215" t="s">
        <v>22</v>
      </c>
      <c r="O215" t="str">
        <f t="shared" si="12"/>
        <v>No</v>
      </c>
      <c r="P215" t="str">
        <f t="shared" si="13"/>
        <v>No</v>
      </c>
      <c r="Q215" t="str">
        <f t="shared" si="14"/>
        <v>Yes</v>
      </c>
      <c r="R215" t="str">
        <f t="shared" si="15"/>
        <v>Normal</v>
      </c>
    </row>
    <row r="216" spans="1:18" x14ac:dyDescent="0.35">
      <c r="A216" t="s">
        <v>293</v>
      </c>
      <c r="B216" s="2">
        <v>46260</v>
      </c>
      <c r="C216" t="s">
        <v>95</v>
      </c>
      <c r="D216" t="s">
        <v>16</v>
      </c>
      <c r="E216" t="s">
        <v>41</v>
      </c>
      <c r="F216" t="s">
        <v>35</v>
      </c>
      <c r="G216" t="s">
        <v>19</v>
      </c>
      <c r="H216" t="s">
        <v>20</v>
      </c>
      <c r="I216">
        <v>4</v>
      </c>
      <c r="J216" s="3">
        <v>71400</v>
      </c>
      <c r="K216" s="4">
        <v>0.15</v>
      </c>
      <c r="L216" s="3">
        <v>55100</v>
      </c>
      <c r="M216" t="s">
        <v>21</v>
      </c>
      <c r="N216" t="s">
        <v>38</v>
      </c>
      <c r="O216" t="str">
        <f t="shared" si="12"/>
        <v>No</v>
      </c>
      <c r="P216" t="str">
        <f t="shared" si="13"/>
        <v>No</v>
      </c>
      <c r="Q216" t="str">
        <f t="shared" si="14"/>
        <v>No</v>
      </c>
      <c r="R216" t="str">
        <f t="shared" si="15"/>
        <v>Normal</v>
      </c>
    </row>
    <row r="217" spans="1:18" x14ac:dyDescent="0.35">
      <c r="A217" t="s">
        <v>294</v>
      </c>
      <c r="B217" s="2">
        <v>46151</v>
      </c>
      <c r="C217" t="s">
        <v>95</v>
      </c>
      <c r="D217" t="s">
        <v>25</v>
      </c>
      <c r="E217" t="s">
        <v>100</v>
      </c>
      <c r="F217" t="s">
        <v>68</v>
      </c>
      <c r="G217" t="s">
        <v>78</v>
      </c>
      <c r="H217" t="s">
        <v>37</v>
      </c>
      <c r="I217">
        <v>7</v>
      </c>
      <c r="J217" s="3">
        <v>602200</v>
      </c>
      <c r="K217" s="4">
        <v>0.05</v>
      </c>
      <c r="L217" s="3">
        <v>266200</v>
      </c>
      <c r="M217" t="s">
        <v>45</v>
      </c>
      <c r="N217" t="s">
        <v>38</v>
      </c>
      <c r="O217" t="str">
        <f t="shared" si="12"/>
        <v>No</v>
      </c>
      <c r="P217" t="str">
        <f t="shared" si="13"/>
        <v>No</v>
      </c>
      <c r="Q217" t="str">
        <f t="shared" si="14"/>
        <v>Yes</v>
      </c>
      <c r="R217" t="str">
        <f t="shared" si="15"/>
        <v>Normal</v>
      </c>
    </row>
    <row r="218" spans="1:18" x14ac:dyDescent="0.35">
      <c r="A218" t="s">
        <v>295</v>
      </c>
      <c r="B218" s="2">
        <v>46148</v>
      </c>
      <c r="C218" t="s">
        <v>86</v>
      </c>
      <c r="D218" t="s">
        <v>25</v>
      </c>
      <c r="E218" t="s">
        <v>26</v>
      </c>
      <c r="F218" t="s">
        <v>35</v>
      </c>
      <c r="G218" t="s">
        <v>43</v>
      </c>
      <c r="H218" t="s">
        <v>44</v>
      </c>
      <c r="I218">
        <v>6</v>
      </c>
      <c r="J218" s="3">
        <v>163300</v>
      </c>
      <c r="K218" s="4">
        <v>0.15</v>
      </c>
      <c r="L218" s="3">
        <v>195700</v>
      </c>
      <c r="M218" t="s">
        <v>29</v>
      </c>
      <c r="N218" t="s">
        <v>38</v>
      </c>
      <c r="O218" t="str">
        <f t="shared" si="12"/>
        <v>No</v>
      </c>
      <c r="P218" t="str">
        <f t="shared" si="13"/>
        <v>No</v>
      </c>
      <c r="Q218" t="str">
        <f t="shared" si="14"/>
        <v>No</v>
      </c>
      <c r="R218" t="str">
        <f t="shared" si="15"/>
        <v>Normal</v>
      </c>
    </row>
    <row r="219" spans="1:18" x14ac:dyDescent="0.35">
      <c r="A219" t="s">
        <v>296</v>
      </c>
      <c r="B219" s="2">
        <v>46205</v>
      </c>
      <c r="C219" t="s">
        <v>76</v>
      </c>
      <c r="D219" t="s">
        <v>48</v>
      </c>
      <c r="E219" t="s">
        <v>165</v>
      </c>
      <c r="F219" t="s">
        <v>68</v>
      </c>
      <c r="G219" t="s">
        <v>43</v>
      </c>
      <c r="H219" t="s">
        <v>44</v>
      </c>
      <c r="I219">
        <v>2</v>
      </c>
      <c r="J219" s="3">
        <v>497500</v>
      </c>
      <c r="K219" s="4">
        <v>0.1</v>
      </c>
      <c r="L219" s="3">
        <v>203400</v>
      </c>
      <c r="M219" t="s">
        <v>21</v>
      </c>
      <c r="N219" t="s">
        <v>38</v>
      </c>
      <c r="O219" t="str">
        <f t="shared" si="12"/>
        <v>Yes</v>
      </c>
      <c r="P219" t="str">
        <f t="shared" si="13"/>
        <v>No</v>
      </c>
      <c r="Q219" t="str">
        <f t="shared" si="14"/>
        <v>No</v>
      </c>
      <c r="R219" t="str">
        <f t="shared" si="15"/>
        <v>Priority</v>
      </c>
    </row>
    <row r="220" spans="1:18" x14ac:dyDescent="0.35">
      <c r="A220" t="s">
        <v>297</v>
      </c>
      <c r="B220" s="2">
        <v>46136</v>
      </c>
      <c r="C220" t="s">
        <v>47</v>
      </c>
      <c r="D220" t="s">
        <v>48</v>
      </c>
      <c r="E220" t="s">
        <v>165</v>
      </c>
      <c r="F220" t="s">
        <v>68</v>
      </c>
      <c r="G220" t="s">
        <v>43</v>
      </c>
      <c r="H220" t="s">
        <v>44</v>
      </c>
      <c r="I220">
        <v>6</v>
      </c>
      <c r="J220" s="3">
        <v>312300</v>
      </c>
      <c r="K220" s="4">
        <v>0.1</v>
      </c>
      <c r="L220" s="3">
        <v>132000</v>
      </c>
      <c r="M220" t="s">
        <v>45</v>
      </c>
      <c r="N220" t="s">
        <v>22</v>
      </c>
      <c r="O220" t="str">
        <f t="shared" si="12"/>
        <v>No</v>
      </c>
      <c r="P220" t="str">
        <f t="shared" si="13"/>
        <v>No</v>
      </c>
      <c r="Q220" t="str">
        <f t="shared" si="14"/>
        <v>Yes</v>
      </c>
      <c r="R220" t="str">
        <f t="shared" si="15"/>
        <v>Normal</v>
      </c>
    </row>
    <row r="221" spans="1:18" x14ac:dyDescent="0.35">
      <c r="A221" t="s">
        <v>298</v>
      </c>
      <c r="B221" s="2">
        <v>46029</v>
      </c>
      <c r="C221" t="s">
        <v>62</v>
      </c>
      <c r="D221" t="s">
        <v>25</v>
      </c>
      <c r="E221" t="s">
        <v>26</v>
      </c>
      <c r="F221" t="s">
        <v>27</v>
      </c>
      <c r="G221" t="s">
        <v>43</v>
      </c>
      <c r="H221" t="s">
        <v>44</v>
      </c>
      <c r="I221">
        <v>8</v>
      </c>
      <c r="J221" s="3">
        <v>400600</v>
      </c>
      <c r="K221" s="4">
        <v>0.05</v>
      </c>
      <c r="L221" s="3">
        <v>279400</v>
      </c>
      <c r="M221" t="s">
        <v>21</v>
      </c>
      <c r="N221" t="s">
        <v>38</v>
      </c>
      <c r="O221" t="str">
        <f t="shared" si="12"/>
        <v>No</v>
      </c>
      <c r="P221" t="str">
        <f t="shared" si="13"/>
        <v>No</v>
      </c>
      <c r="Q221" t="str">
        <f t="shared" si="14"/>
        <v>No</v>
      </c>
      <c r="R221" t="str">
        <f t="shared" si="15"/>
        <v>Normal</v>
      </c>
    </row>
    <row r="222" spans="1:18" x14ac:dyDescent="0.35">
      <c r="A222" t="s">
        <v>299</v>
      </c>
      <c r="B222" s="2">
        <v>46254</v>
      </c>
      <c r="C222" t="s">
        <v>32</v>
      </c>
      <c r="D222" t="s">
        <v>33</v>
      </c>
      <c r="E222" t="s">
        <v>77</v>
      </c>
      <c r="F222" t="s">
        <v>18</v>
      </c>
      <c r="G222" t="s">
        <v>53</v>
      </c>
      <c r="H222" t="s">
        <v>37</v>
      </c>
      <c r="I222">
        <v>7</v>
      </c>
      <c r="J222" s="3">
        <v>524500</v>
      </c>
      <c r="K222" s="4">
        <v>0.2</v>
      </c>
      <c r="L222" s="3">
        <v>279600</v>
      </c>
      <c r="M222" t="s">
        <v>29</v>
      </c>
      <c r="N222" t="s">
        <v>38</v>
      </c>
      <c r="O222" t="str">
        <f t="shared" si="12"/>
        <v>No</v>
      </c>
      <c r="P222" t="str">
        <f t="shared" si="13"/>
        <v>No</v>
      </c>
      <c r="Q222" t="str">
        <f t="shared" si="14"/>
        <v>No</v>
      </c>
      <c r="R222" t="str">
        <f t="shared" si="15"/>
        <v>Normal</v>
      </c>
    </row>
    <row r="223" spans="1:18" x14ac:dyDescent="0.35">
      <c r="A223" t="s">
        <v>300</v>
      </c>
      <c r="B223" s="2">
        <v>46134</v>
      </c>
      <c r="C223" t="s">
        <v>51</v>
      </c>
      <c r="D223" t="s">
        <v>48</v>
      </c>
      <c r="E223" t="s">
        <v>165</v>
      </c>
      <c r="F223" t="s">
        <v>27</v>
      </c>
      <c r="G223" t="s">
        <v>53</v>
      </c>
      <c r="H223" t="s">
        <v>37</v>
      </c>
      <c r="I223">
        <v>5</v>
      </c>
      <c r="J223" s="3">
        <v>470800</v>
      </c>
      <c r="K223" s="4">
        <v>0.1</v>
      </c>
      <c r="L223" s="3">
        <v>301100</v>
      </c>
      <c r="M223" t="s">
        <v>45</v>
      </c>
      <c r="N223" t="s">
        <v>38</v>
      </c>
      <c r="O223" t="str">
        <f t="shared" si="12"/>
        <v>Yes</v>
      </c>
      <c r="P223" t="str">
        <f t="shared" si="13"/>
        <v>No</v>
      </c>
      <c r="Q223" t="str">
        <f t="shared" si="14"/>
        <v>Yes</v>
      </c>
      <c r="R223" t="str">
        <f t="shared" si="15"/>
        <v>Priority</v>
      </c>
    </row>
    <row r="224" spans="1:18" x14ac:dyDescent="0.35">
      <c r="A224" t="s">
        <v>301</v>
      </c>
      <c r="B224" s="2">
        <v>46057</v>
      </c>
      <c r="C224" t="s">
        <v>82</v>
      </c>
      <c r="D224" t="s">
        <v>16</v>
      </c>
      <c r="E224" t="s">
        <v>63</v>
      </c>
      <c r="F224" t="s">
        <v>35</v>
      </c>
      <c r="G224" t="s">
        <v>36</v>
      </c>
      <c r="H224" t="s">
        <v>37</v>
      </c>
      <c r="I224">
        <v>8</v>
      </c>
      <c r="J224" s="3">
        <v>189100</v>
      </c>
      <c r="K224" s="4">
        <v>0.05</v>
      </c>
      <c r="L224" s="3">
        <v>93500</v>
      </c>
      <c r="M224" t="s">
        <v>45</v>
      </c>
      <c r="N224" t="s">
        <v>38</v>
      </c>
      <c r="O224" t="str">
        <f t="shared" si="12"/>
        <v>No</v>
      </c>
      <c r="P224" t="str">
        <f t="shared" si="13"/>
        <v>No</v>
      </c>
      <c r="Q224" t="str">
        <f t="shared" si="14"/>
        <v>Yes</v>
      </c>
      <c r="R224" t="str">
        <f t="shared" si="15"/>
        <v>Normal</v>
      </c>
    </row>
    <row r="225" spans="1:18" x14ac:dyDescent="0.35">
      <c r="A225" t="s">
        <v>302</v>
      </c>
      <c r="B225" s="2">
        <v>46057</v>
      </c>
      <c r="C225" t="s">
        <v>76</v>
      </c>
      <c r="D225" t="s">
        <v>33</v>
      </c>
      <c r="E225" t="s">
        <v>77</v>
      </c>
      <c r="F225" t="s">
        <v>35</v>
      </c>
      <c r="G225" t="s">
        <v>72</v>
      </c>
      <c r="H225" t="s">
        <v>44</v>
      </c>
      <c r="I225">
        <v>6</v>
      </c>
      <c r="J225" s="3">
        <v>262100</v>
      </c>
      <c r="K225" s="4">
        <v>0.2</v>
      </c>
      <c r="L225" s="3">
        <v>302400</v>
      </c>
      <c r="M225" t="s">
        <v>45</v>
      </c>
      <c r="N225" t="s">
        <v>38</v>
      </c>
      <c r="O225" t="str">
        <f t="shared" si="12"/>
        <v>No</v>
      </c>
      <c r="P225" t="str">
        <f t="shared" si="13"/>
        <v>No</v>
      </c>
      <c r="Q225" t="str">
        <f t="shared" si="14"/>
        <v>Yes</v>
      </c>
      <c r="R225" t="str">
        <f t="shared" si="15"/>
        <v>Normal</v>
      </c>
    </row>
    <row r="226" spans="1:18" x14ac:dyDescent="0.35">
      <c r="A226" t="s">
        <v>303</v>
      </c>
      <c r="B226" s="2">
        <v>46170</v>
      </c>
      <c r="C226" t="s">
        <v>55</v>
      </c>
      <c r="D226" t="s">
        <v>48</v>
      </c>
      <c r="E226" t="s">
        <v>104</v>
      </c>
      <c r="F226" t="s">
        <v>27</v>
      </c>
      <c r="G226" t="s">
        <v>43</v>
      </c>
      <c r="H226" t="s">
        <v>44</v>
      </c>
      <c r="I226">
        <v>6</v>
      </c>
      <c r="J226" s="3">
        <v>281200</v>
      </c>
      <c r="K226" s="4">
        <v>0.15</v>
      </c>
      <c r="L226" s="3">
        <v>343200</v>
      </c>
      <c r="M226" t="s">
        <v>29</v>
      </c>
      <c r="N226" t="s">
        <v>38</v>
      </c>
      <c r="O226" t="str">
        <f t="shared" si="12"/>
        <v>Yes</v>
      </c>
      <c r="P226" t="str">
        <f t="shared" si="13"/>
        <v>No</v>
      </c>
      <c r="Q226" t="str">
        <f t="shared" si="14"/>
        <v>No</v>
      </c>
      <c r="R226" t="str">
        <f t="shared" si="15"/>
        <v>Priority</v>
      </c>
    </row>
    <row r="227" spans="1:18" x14ac:dyDescent="0.35">
      <c r="A227" t="s">
        <v>304</v>
      </c>
      <c r="B227" s="2">
        <v>46029</v>
      </c>
      <c r="C227" t="s">
        <v>60</v>
      </c>
      <c r="D227" t="s">
        <v>48</v>
      </c>
      <c r="E227" t="s">
        <v>104</v>
      </c>
      <c r="F227" t="s">
        <v>18</v>
      </c>
      <c r="G227" t="s">
        <v>36</v>
      </c>
      <c r="H227" t="s">
        <v>37</v>
      </c>
      <c r="I227">
        <v>10</v>
      </c>
      <c r="J227" s="3">
        <v>249600</v>
      </c>
      <c r="K227" s="4">
        <v>0.2</v>
      </c>
      <c r="L227" s="3">
        <v>91600</v>
      </c>
      <c r="M227" t="s">
        <v>64</v>
      </c>
      <c r="N227" t="s">
        <v>30</v>
      </c>
      <c r="O227" t="str">
        <f t="shared" si="12"/>
        <v>No</v>
      </c>
      <c r="P227" t="str">
        <f t="shared" si="13"/>
        <v>No</v>
      </c>
      <c r="Q227" t="str">
        <f t="shared" si="14"/>
        <v>Yes</v>
      </c>
      <c r="R227" t="str">
        <f t="shared" si="15"/>
        <v>Normal</v>
      </c>
    </row>
    <row r="228" spans="1:18" x14ac:dyDescent="0.35">
      <c r="A228" t="s">
        <v>305</v>
      </c>
      <c r="B228" s="2">
        <v>46084</v>
      </c>
      <c r="C228" t="s">
        <v>55</v>
      </c>
      <c r="D228" t="s">
        <v>48</v>
      </c>
      <c r="E228" t="s">
        <v>104</v>
      </c>
      <c r="F228" t="s">
        <v>68</v>
      </c>
      <c r="G228" t="s">
        <v>28</v>
      </c>
      <c r="H228" t="s">
        <v>20</v>
      </c>
      <c r="I228">
        <v>7</v>
      </c>
      <c r="J228" s="3">
        <v>33600</v>
      </c>
      <c r="K228" s="4">
        <v>0.1</v>
      </c>
      <c r="L228" s="3">
        <v>9800</v>
      </c>
      <c r="M228" t="s">
        <v>45</v>
      </c>
      <c r="N228" t="s">
        <v>38</v>
      </c>
      <c r="O228" t="str">
        <f t="shared" si="12"/>
        <v>Yes</v>
      </c>
      <c r="P228" t="str">
        <f t="shared" si="13"/>
        <v>No</v>
      </c>
      <c r="Q228" t="str">
        <f t="shared" si="14"/>
        <v>Yes</v>
      </c>
      <c r="R228" t="str">
        <f t="shared" si="15"/>
        <v>Priority</v>
      </c>
    </row>
    <row r="229" spans="1:18" x14ac:dyDescent="0.35">
      <c r="A229" t="s">
        <v>306</v>
      </c>
      <c r="B229" s="2">
        <v>46162</v>
      </c>
      <c r="C229" t="s">
        <v>86</v>
      </c>
      <c r="D229" t="s">
        <v>48</v>
      </c>
      <c r="E229" t="s">
        <v>49</v>
      </c>
      <c r="F229" t="s">
        <v>42</v>
      </c>
      <c r="G229" t="s">
        <v>72</v>
      </c>
      <c r="H229" t="s">
        <v>44</v>
      </c>
      <c r="I229">
        <v>10</v>
      </c>
      <c r="J229" s="3">
        <v>252300</v>
      </c>
      <c r="K229" s="4">
        <v>0.15</v>
      </c>
      <c r="L229" s="3">
        <v>216800</v>
      </c>
      <c r="M229" t="s">
        <v>21</v>
      </c>
      <c r="N229" t="s">
        <v>22</v>
      </c>
      <c r="O229" t="str">
        <f t="shared" si="12"/>
        <v>No</v>
      </c>
      <c r="P229" t="str">
        <f t="shared" si="13"/>
        <v>No</v>
      </c>
      <c r="Q229" t="str">
        <f t="shared" si="14"/>
        <v>No</v>
      </c>
      <c r="R229" t="str">
        <f t="shared" si="15"/>
        <v>Normal</v>
      </c>
    </row>
    <row r="230" spans="1:18" x14ac:dyDescent="0.35">
      <c r="A230" t="s">
        <v>307</v>
      </c>
      <c r="B230" s="2">
        <v>46215</v>
      </c>
      <c r="C230" t="s">
        <v>70</v>
      </c>
      <c r="D230" t="s">
        <v>16</v>
      </c>
      <c r="E230" t="s">
        <v>17</v>
      </c>
      <c r="F230" t="s">
        <v>27</v>
      </c>
      <c r="G230" t="s">
        <v>78</v>
      </c>
      <c r="H230" t="s">
        <v>37</v>
      </c>
      <c r="I230">
        <v>3</v>
      </c>
      <c r="J230" s="3">
        <v>558800</v>
      </c>
      <c r="K230" s="4">
        <v>0.15</v>
      </c>
      <c r="L230" s="3">
        <v>234600</v>
      </c>
      <c r="M230" t="s">
        <v>45</v>
      </c>
      <c r="N230" t="s">
        <v>30</v>
      </c>
      <c r="O230" t="str">
        <f t="shared" si="12"/>
        <v>No</v>
      </c>
      <c r="P230" t="str">
        <f t="shared" si="13"/>
        <v>No</v>
      </c>
      <c r="Q230" t="str">
        <f t="shared" si="14"/>
        <v>Yes</v>
      </c>
      <c r="R230" t="str">
        <f t="shared" si="15"/>
        <v>Normal</v>
      </c>
    </row>
    <row r="231" spans="1:18" x14ac:dyDescent="0.35">
      <c r="A231" t="s">
        <v>308</v>
      </c>
      <c r="B231" s="2">
        <v>46199</v>
      </c>
      <c r="C231" t="s">
        <v>86</v>
      </c>
      <c r="D231" t="s">
        <v>16</v>
      </c>
      <c r="E231" t="s">
        <v>17</v>
      </c>
      <c r="F231" t="s">
        <v>18</v>
      </c>
      <c r="G231" t="s">
        <v>53</v>
      </c>
      <c r="H231" t="s">
        <v>37</v>
      </c>
      <c r="I231">
        <v>4</v>
      </c>
      <c r="J231" s="3">
        <v>579800</v>
      </c>
      <c r="K231" s="4">
        <v>0.2</v>
      </c>
      <c r="L231" s="3">
        <v>431600</v>
      </c>
      <c r="M231" t="s">
        <v>29</v>
      </c>
      <c r="N231" t="s">
        <v>38</v>
      </c>
      <c r="O231" t="str">
        <f t="shared" si="12"/>
        <v>No</v>
      </c>
      <c r="P231" t="str">
        <f t="shared" si="13"/>
        <v>No</v>
      </c>
      <c r="Q231" t="str">
        <f t="shared" si="14"/>
        <v>No</v>
      </c>
      <c r="R231" t="str">
        <f t="shared" si="15"/>
        <v>Normal</v>
      </c>
    </row>
    <row r="232" spans="1:18" x14ac:dyDescent="0.35">
      <c r="A232" t="s">
        <v>309</v>
      </c>
      <c r="B232" s="2">
        <v>46052</v>
      </c>
      <c r="C232" t="s">
        <v>76</v>
      </c>
      <c r="D232" t="s">
        <v>48</v>
      </c>
      <c r="E232" t="s">
        <v>165</v>
      </c>
      <c r="F232" t="s">
        <v>35</v>
      </c>
      <c r="G232" t="s">
        <v>19</v>
      </c>
      <c r="H232" t="s">
        <v>20</v>
      </c>
      <c r="I232">
        <v>8</v>
      </c>
      <c r="J232" s="3">
        <v>49700</v>
      </c>
      <c r="K232" s="4">
        <v>0.05</v>
      </c>
      <c r="L232" s="3">
        <v>41600</v>
      </c>
      <c r="M232" t="s">
        <v>29</v>
      </c>
      <c r="N232" t="s">
        <v>38</v>
      </c>
      <c r="O232" t="str">
        <f t="shared" si="12"/>
        <v>Yes</v>
      </c>
      <c r="P232" t="str">
        <f t="shared" si="13"/>
        <v>No</v>
      </c>
      <c r="Q232" t="str">
        <f t="shared" si="14"/>
        <v>No</v>
      </c>
      <c r="R232" t="str">
        <f t="shared" si="15"/>
        <v>Priority</v>
      </c>
    </row>
    <row r="233" spans="1:18" x14ac:dyDescent="0.35">
      <c r="A233" t="s">
        <v>310</v>
      </c>
      <c r="B233" s="2">
        <v>46104</v>
      </c>
      <c r="C233" t="s">
        <v>124</v>
      </c>
      <c r="D233" t="s">
        <v>48</v>
      </c>
      <c r="E233" t="s">
        <v>165</v>
      </c>
      <c r="F233" t="s">
        <v>58</v>
      </c>
      <c r="G233" t="s">
        <v>72</v>
      </c>
      <c r="H233" t="s">
        <v>44</v>
      </c>
      <c r="I233">
        <v>6</v>
      </c>
      <c r="J233" s="3">
        <v>277100</v>
      </c>
      <c r="K233" s="4">
        <v>0.15</v>
      </c>
      <c r="L233" s="3">
        <v>198300</v>
      </c>
      <c r="M233" t="s">
        <v>21</v>
      </c>
      <c r="N233" t="s">
        <v>38</v>
      </c>
      <c r="O233" t="str">
        <f t="shared" si="12"/>
        <v>Yes</v>
      </c>
      <c r="P233" t="str">
        <f t="shared" si="13"/>
        <v>No</v>
      </c>
      <c r="Q233" t="str">
        <f t="shared" si="14"/>
        <v>No</v>
      </c>
      <c r="R233" t="str">
        <f t="shared" si="15"/>
        <v>Priority</v>
      </c>
    </row>
    <row r="234" spans="1:18" x14ac:dyDescent="0.35">
      <c r="A234" t="s">
        <v>311</v>
      </c>
      <c r="B234" s="2">
        <v>46067</v>
      </c>
      <c r="C234" t="s">
        <v>62</v>
      </c>
      <c r="D234" t="s">
        <v>16</v>
      </c>
      <c r="E234" t="s">
        <v>63</v>
      </c>
      <c r="F234" t="s">
        <v>68</v>
      </c>
      <c r="G234" t="s">
        <v>28</v>
      </c>
      <c r="H234" t="s">
        <v>20</v>
      </c>
      <c r="I234">
        <v>3</v>
      </c>
      <c r="J234" s="3">
        <v>42500</v>
      </c>
      <c r="K234" s="4">
        <v>0.2</v>
      </c>
      <c r="L234" s="3">
        <v>23900</v>
      </c>
      <c r="M234" t="s">
        <v>29</v>
      </c>
      <c r="N234" t="s">
        <v>38</v>
      </c>
      <c r="O234" t="str">
        <f t="shared" si="12"/>
        <v>No</v>
      </c>
      <c r="P234" t="str">
        <f t="shared" si="13"/>
        <v>No</v>
      </c>
      <c r="Q234" t="str">
        <f t="shared" si="14"/>
        <v>No</v>
      </c>
      <c r="R234" t="str">
        <f t="shared" si="15"/>
        <v>Normal</v>
      </c>
    </row>
    <row r="235" spans="1:18" x14ac:dyDescent="0.35">
      <c r="A235" t="s">
        <v>312</v>
      </c>
      <c r="B235" s="2">
        <v>46211</v>
      </c>
      <c r="C235" t="s">
        <v>86</v>
      </c>
      <c r="D235" t="s">
        <v>48</v>
      </c>
      <c r="E235" t="s">
        <v>165</v>
      </c>
      <c r="F235" t="s">
        <v>42</v>
      </c>
      <c r="G235" t="s">
        <v>102</v>
      </c>
      <c r="H235" t="s">
        <v>20</v>
      </c>
      <c r="I235">
        <v>3</v>
      </c>
      <c r="J235" s="3">
        <v>18500</v>
      </c>
      <c r="K235" s="4">
        <v>0.05</v>
      </c>
      <c r="L235" s="3">
        <v>9600</v>
      </c>
      <c r="M235" t="s">
        <v>29</v>
      </c>
      <c r="N235" t="s">
        <v>38</v>
      </c>
      <c r="O235" t="str">
        <f t="shared" si="12"/>
        <v>Yes</v>
      </c>
      <c r="P235" t="str">
        <f t="shared" si="13"/>
        <v>No</v>
      </c>
      <c r="Q235" t="str">
        <f t="shared" si="14"/>
        <v>No</v>
      </c>
      <c r="R235" t="str">
        <f t="shared" si="15"/>
        <v>Priority</v>
      </c>
    </row>
    <row r="236" spans="1:18" x14ac:dyDescent="0.35">
      <c r="A236" t="s">
        <v>313</v>
      </c>
      <c r="B236" s="2">
        <v>46170</v>
      </c>
      <c r="C236" t="s">
        <v>86</v>
      </c>
      <c r="D236" t="s">
        <v>48</v>
      </c>
      <c r="E236" t="s">
        <v>49</v>
      </c>
      <c r="F236" t="s">
        <v>68</v>
      </c>
      <c r="G236" t="s">
        <v>36</v>
      </c>
      <c r="H236" t="s">
        <v>37</v>
      </c>
      <c r="I236">
        <v>4</v>
      </c>
      <c r="J236" s="3">
        <v>141800</v>
      </c>
      <c r="K236" s="4">
        <v>0.05</v>
      </c>
      <c r="L236" s="3">
        <v>154500</v>
      </c>
      <c r="M236" t="s">
        <v>21</v>
      </c>
      <c r="N236" t="s">
        <v>22</v>
      </c>
      <c r="O236" t="str">
        <f t="shared" si="12"/>
        <v>No</v>
      </c>
      <c r="P236" t="str">
        <f t="shared" si="13"/>
        <v>No</v>
      </c>
      <c r="Q236" t="str">
        <f t="shared" si="14"/>
        <v>No</v>
      </c>
      <c r="R236" t="str">
        <f t="shared" si="15"/>
        <v>Normal</v>
      </c>
    </row>
    <row r="237" spans="1:18" x14ac:dyDescent="0.35">
      <c r="A237" t="s">
        <v>314</v>
      </c>
      <c r="B237" s="2">
        <v>46158</v>
      </c>
      <c r="C237" t="s">
        <v>89</v>
      </c>
      <c r="D237" t="s">
        <v>25</v>
      </c>
      <c r="E237" t="s">
        <v>113</v>
      </c>
      <c r="F237" t="s">
        <v>35</v>
      </c>
      <c r="G237" t="s">
        <v>36</v>
      </c>
      <c r="H237" t="s">
        <v>37</v>
      </c>
      <c r="I237">
        <v>8</v>
      </c>
      <c r="J237" s="3">
        <v>117100</v>
      </c>
      <c r="K237" s="4">
        <v>0.15</v>
      </c>
      <c r="L237" s="3">
        <v>150500</v>
      </c>
      <c r="M237" t="s">
        <v>45</v>
      </c>
      <c r="N237" t="s">
        <v>38</v>
      </c>
      <c r="O237" t="str">
        <f t="shared" si="12"/>
        <v>No</v>
      </c>
      <c r="P237" t="str">
        <f t="shared" si="13"/>
        <v>No</v>
      </c>
      <c r="Q237" t="str">
        <f t="shared" si="14"/>
        <v>Yes</v>
      </c>
      <c r="R237" t="str">
        <f t="shared" si="15"/>
        <v>Normal</v>
      </c>
    </row>
    <row r="238" spans="1:18" x14ac:dyDescent="0.35">
      <c r="A238" t="s">
        <v>315</v>
      </c>
      <c r="B238" s="2">
        <v>46258</v>
      </c>
      <c r="C238" t="s">
        <v>74</v>
      </c>
      <c r="D238" t="s">
        <v>48</v>
      </c>
      <c r="E238" t="s">
        <v>49</v>
      </c>
      <c r="F238" t="s">
        <v>35</v>
      </c>
      <c r="G238" t="s">
        <v>78</v>
      </c>
      <c r="H238" t="s">
        <v>37</v>
      </c>
      <c r="I238">
        <v>8</v>
      </c>
      <c r="J238" s="3">
        <v>546900</v>
      </c>
      <c r="K238" s="4">
        <v>0.1</v>
      </c>
      <c r="L238" s="3">
        <v>488500</v>
      </c>
      <c r="M238" t="s">
        <v>21</v>
      </c>
      <c r="N238" t="s">
        <v>38</v>
      </c>
      <c r="O238" t="str">
        <f t="shared" si="12"/>
        <v>Yes</v>
      </c>
      <c r="P238" t="str">
        <f t="shared" si="13"/>
        <v>No</v>
      </c>
      <c r="Q238" t="str">
        <f t="shared" si="14"/>
        <v>No</v>
      </c>
      <c r="R238" t="str">
        <f t="shared" si="15"/>
        <v>Priority</v>
      </c>
    </row>
    <row r="239" spans="1:18" x14ac:dyDescent="0.35">
      <c r="A239" t="s">
        <v>316</v>
      </c>
      <c r="B239" s="2">
        <v>46130</v>
      </c>
      <c r="C239" t="s">
        <v>124</v>
      </c>
      <c r="D239" t="s">
        <v>16</v>
      </c>
      <c r="E239" t="s">
        <v>41</v>
      </c>
      <c r="F239" t="s">
        <v>35</v>
      </c>
      <c r="G239" t="s">
        <v>28</v>
      </c>
      <c r="H239" t="s">
        <v>20</v>
      </c>
      <c r="I239">
        <v>3</v>
      </c>
      <c r="J239" s="3">
        <v>23100</v>
      </c>
      <c r="K239" s="4">
        <v>0.15</v>
      </c>
      <c r="L239" s="3">
        <v>9800</v>
      </c>
      <c r="M239" t="s">
        <v>29</v>
      </c>
      <c r="N239" t="s">
        <v>38</v>
      </c>
      <c r="O239" t="str">
        <f t="shared" si="12"/>
        <v>No</v>
      </c>
      <c r="P239" t="str">
        <f t="shared" si="13"/>
        <v>No</v>
      </c>
      <c r="Q239" t="str">
        <f t="shared" si="14"/>
        <v>No</v>
      </c>
      <c r="R239" t="str">
        <f t="shared" si="15"/>
        <v>Normal</v>
      </c>
    </row>
    <row r="240" spans="1:18" x14ac:dyDescent="0.35">
      <c r="A240" t="s">
        <v>317</v>
      </c>
      <c r="B240" s="2">
        <v>46103</v>
      </c>
      <c r="C240" t="s">
        <v>86</v>
      </c>
      <c r="D240" t="s">
        <v>25</v>
      </c>
      <c r="E240" t="s">
        <v>100</v>
      </c>
      <c r="F240" t="s">
        <v>68</v>
      </c>
      <c r="G240" t="s">
        <v>102</v>
      </c>
      <c r="H240" t="s">
        <v>20</v>
      </c>
      <c r="I240">
        <v>9</v>
      </c>
      <c r="J240" s="3">
        <v>10000</v>
      </c>
      <c r="K240" s="4">
        <v>0.1</v>
      </c>
      <c r="L240" s="3">
        <v>7800</v>
      </c>
      <c r="M240" t="s">
        <v>64</v>
      </c>
      <c r="N240" t="s">
        <v>38</v>
      </c>
      <c r="O240" t="str">
        <f t="shared" si="12"/>
        <v>No</v>
      </c>
      <c r="P240" t="str">
        <f t="shared" si="13"/>
        <v>No</v>
      </c>
      <c r="Q240" t="str">
        <f t="shared" si="14"/>
        <v>Yes</v>
      </c>
      <c r="R240" t="str">
        <f t="shared" si="15"/>
        <v>Normal</v>
      </c>
    </row>
    <row r="241" spans="1:18" x14ac:dyDescent="0.35">
      <c r="A241" t="s">
        <v>318</v>
      </c>
      <c r="B241" s="2">
        <v>46127</v>
      </c>
      <c r="C241" t="s">
        <v>70</v>
      </c>
      <c r="D241" t="s">
        <v>16</v>
      </c>
      <c r="E241" t="s">
        <v>87</v>
      </c>
      <c r="F241" t="s">
        <v>27</v>
      </c>
      <c r="G241" t="s">
        <v>36</v>
      </c>
      <c r="H241" t="s">
        <v>37</v>
      </c>
      <c r="I241">
        <v>7</v>
      </c>
      <c r="J241" s="3">
        <v>244600</v>
      </c>
      <c r="K241" s="4">
        <v>0.15</v>
      </c>
      <c r="L241" s="3">
        <v>130700</v>
      </c>
      <c r="M241" t="s">
        <v>64</v>
      </c>
      <c r="N241" t="s">
        <v>38</v>
      </c>
      <c r="O241" t="str">
        <f t="shared" si="12"/>
        <v>No</v>
      </c>
      <c r="P241" t="str">
        <f t="shared" si="13"/>
        <v>No</v>
      </c>
      <c r="Q241" t="str">
        <f t="shared" si="14"/>
        <v>Yes</v>
      </c>
      <c r="R241" t="str">
        <f t="shared" si="15"/>
        <v>Normal</v>
      </c>
    </row>
    <row r="242" spans="1:18" x14ac:dyDescent="0.35">
      <c r="A242" t="s">
        <v>319</v>
      </c>
      <c r="B242" s="2">
        <v>46096</v>
      </c>
      <c r="C242" t="s">
        <v>99</v>
      </c>
      <c r="D242" t="s">
        <v>48</v>
      </c>
      <c r="E242" t="s">
        <v>165</v>
      </c>
      <c r="F242" t="s">
        <v>18</v>
      </c>
      <c r="G242" t="s">
        <v>19</v>
      </c>
      <c r="H242" t="s">
        <v>20</v>
      </c>
      <c r="I242">
        <v>4</v>
      </c>
      <c r="J242" s="3">
        <v>58100</v>
      </c>
      <c r="K242" s="4">
        <v>0.2</v>
      </c>
      <c r="L242" s="3">
        <v>36000</v>
      </c>
      <c r="M242" t="s">
        <v>29</v>
      </c>
      <c r="N242" t="s">
        <v>22</v>
      </c>
      <c r="O242" t="str">
        <f t="shared" si="12"/>
        <v>No</v>
      </c>
      <c r="P242" t="str">
        <f t="shared" si="13"/>
        <v>No</v>
      </c>
      <c r="Q242" t="str">
        <f t="shared" si="14"/>
        <v>No</v>
      </c>
      <c r="R242" t="str">
        <f t="shared" si="15"/>
        <v>Normal</v>
      </c>
    </row>
    <row r="243" spans="1:18" x14ac:dyDescent="0.35">
      <c r="A243" t="s">
        <v>320</v>
      </c>
      <c r="B243" s="2">
        <v>46161</v>
      </c>
      <c r="C243" t="s">
        <v>95</v>
      </c>
      <c r="D243" t="s">
        <v>48</v>
      </c>
      <c r="E243" t="s">
        <v>49</v>
      </c>
      <c r="F243" t="s">
        <v>58</v>
      </c>
      <c r="G243" t="s">
        <v>28</v>
      </c>
      <c r="H243" t="s">
        <v>20</v>
      </c>
      <c r="I243">
        <v>5</v>
      </c>
      <c r="J243" s="3">
        <v>37100</v>
      </c>
      <c r="K243" s="4">
        <v>0.1</v>
      </c>
      <c r="L243" s="3">
        <v>25800</v>
      </c>
      <c r="M243" t="s">
        <v>21</v>
      </c>
      <c r="N243" t="s">
        <v>22</v>
      </c>
      <c r="O243" t="str">
        <f t="shared" si="12"/>
        <v>No</v>
      </c>
      <c r="P243" t="str">
        <f t="shared" si="13"/>
        <v>No</v>
      </c>
      <c r="Q243" t="str">
        <f t="shared" si="14"/>
        <v>No</v>
      </c>
      <c r="R243" t="str">
        <f t="shared" si="15"/>
        <v>Normal</v>
      </c>
    </row>
    <row r="244" spans="1:18" x14ac:dyDescent="0.35">
      <c r="A244" t="s">
        <v>321</v>
      </c>
      <c r="B244" s="2">
        <v>46112</v>
      </c>
      <c r="C244" t="s">
        <v>99</v>
      </c>
      <c r="D244" t="s">
        <v>25</v>
      </c>
      <c r="E244" t="s">
        <v>100</v>
      </c>
      <c r="F244" t="s">
        <v>18</v>
      </c>
      <c r="G244" t="s">
        <v>36</v>
      </c>
      <c r="H244" t="s">
        <v>37</v>
      </c>
      <c r="I244">
        <v>5</v>
      </c>
      <c r="J244" s="3">
        <v>231200</v>
      </c>
      <c r="K244" s="4">
        <v>0.1</v>
      </c>
      <c r="L244" s="3">
        <v>73900</v>
      </c>
      <c r="M244" t="s">
        <v>21</v>
      </c>
      <c r="N244" t="s">
        <v>38</v>
      </c>
      <c r="O244" t="str">
        <f t="shared" si="12"/>
        <v>No</v>
      </c>
      <c r="P244" t="str">
        <f t="shared" si="13"/>
        <v>No</v>
      </c>
      <c r="Q244" t="str">
        <f t="shared" si="14"/>
        <v>No</v>
      </c>
      <c r="R244" t="str">
        <f t="shared" si="15"/>
        <v>Normal</v>
      </c>
    </row>
    <row r="245" spans="1:18" x14ac:dyDescent="0.35">
      <c r="A245" t="s">
        <v>322</v>
      </c>
      <c r="B245" s="2">
        <v>46223</v>
      </c>
      <c r="C245" t="s">
        <v>62</v>
      </c>
      <c r="D245" t="s">
        <v>25</v>
      </c>
      <c r="E245" t="s">
        <v>66</v>
      </c>
      <c r="F245" t="s">
        <v>68</v>
      </c>
      <c r="G245" t="s">
        <v>78</v>
      </c>
      <c r="H245" t="s">
        <v>37</v>
      </c>
      <c r="I245">
        <v>10</v>
      </c>
      <c r="J245" s="3">
        <v>553100</v>
      </c>
      <c r="K245" s="4">
        <v>0.1</v>
      </c>
      <c r="L245" s="3">
        <v>274800</v>
      </c>
      <c r="M245" t="s">
        <v>29</v>
      </c>
      <c r="N245" t="s">
        <v>22</v>
      </c>
      <c r="O245" t="str">
        <f t="shared" si="12"/>
        <v>No</v>
      </c>
      <c r="P245" t="str">
        <f t="shared" si="13"/>
        <v>No</v>
      </c>
      <c r="Q245" t="str">
        <f t="shared" si="14"/>
        <v>No</v>
      </c>
      <c r="R245" t="str">
        <f t="shared" si="15"/>
        <v>Normal</v>
      </c>
    </row>
    <row r="246" spans="1:18" x14ac:dyDescent="0.35">
      <c r="A246" t="s">
        <v>323</v>
      </c>
      <c r="B246" s="2">
        <v>46091</v>
      </c>
      <c r="C246" t="s">
        <v>24</v>
      </c>
      <c r="D246" t="s">
        <v>33</v>
      </c>
      <c r="E246" t="s">
        <v>71</v>
      </c>
      <c r="F246" t="s">
        <v>58</v>
      </c>
      <c r="G246" t="s">
        <v>102</v>
      </c>
      <c r="H246" t="s">
        <v>20</v>
      </c>
      <c r="I246">
        <v>6</v>
      </c>
      <c r="J246" s="3">
        <v>24600</v>
      </c>
      <c r="K246" s="4">
        <v>0.2</v>
      </c>
      <c r="L246" s="3">
        <v>7800</v>
      </c>
      <c r="M246" t="s">
        <v>21</v>
      </c>
      <c r="N246" t="s">
        <v>38</v>
      </c>
      <c r="O246" t="str">
        <f t="shared" si="12"/>
        <v>No</v>
      </c>
      <c r="P246" t="str">
        <f t="shared" si="13"/>
        <v>No</v>
      </c>
      <c r="Q246" t="str">
        <f t="shared" si="14"/>
        <v>No</v>
      </c>
      <c r="R246" t="str">
        <f t="shared" si="15"/>
        <v>Normal</v>
      </c>
    </row>
    <row r="247" spans="1:18" x14ac:dyDescent="0.35">
      <c r="A247" t="s">
        <v>324</v>
      </c>
      <c r="B247" s="2">
        <v>46217</v>
      </c>
      <c r="C247" t="s">
        <v>86</v>
      </c>
      <c r="D247" t="s">
        <v>16</v>
      </c>
      <c r="E247" t="s">
        <v>63</v>
      </c>
      <c r="F247" t="s">
        <v>68</v>
      </c>
      <c r="G247" t="s">
        <v>102</v>
      </c>
      <c r="H247" t="s">
        <v>20</v>
      </c>
      <c r="I247">
        <v>3</v>
      </c>
      <c r="J247" s="3">
        <v>11500</v>
      </c>
      <c r="K247" s="4">
        <v>0.1</v>
      </c>
      <c r="L247" s="3">
        <v>13200</v>
      </c>
      <c r="M247" t="s">
        <v>64</v>
      </c>
      <c r="N247" t="s">
        <v>38</v>
      </c>
      <c r="O247" t="str">
        <f t="shared" si="12"/>
        <v>No</v>
      </c>
      <c r="P247" t="str">
        <f t="shared" si="13"/>
        <v>No</v>
      </c>
      <c r="Q247" t="str">
        <f t="shared" si="14"/>
        <v>Yes</v>
      </c>
      <c r="R247" t="str">
        <f t="shared" si="15"/>
        <v>Normal</v>
      </c>
    </row>
    <row r="248" spans="1:18" x14ac:dyDescent="0.35">
      <c r="A248" t="s">
        <v>325</v>
      </c>
      <c r="B248" s="2">
        <v>46126</v>
      </c>
      <c r="C248" t="s">
        <v>95</v>
      </c>
      <c r="D248" t="s">
        <v>33</v>
      </c>
      <c r="E248" t="s">
        <v>77</v>
      </c>
      <c r="F248" t="s">
        <v>42</v>
      </c>
      <c r="G248" t="s">
        <v>72</v>
      </c>
      <c r="H248" t="s">
        <v>44</v>
      </c>
      <c r="I248">
        <v>2</v>
      </c>
      <c r="J248" s="3">
        <v>329100</v>
      </c>
      <c r="K248" s="4">
        <v>0.05</v>
      </c>
      <c r="L248" s="3">
        <v>317600</v>
      </c>
      <c r="M248" t="s">
        <v>45</v>
      </c>
      <c r="N248" t="s">
        <v>38</v>
      </c>
      <c r="O248" t="str">
        <f t="shared" si="12"/>
        <v>No</v>
      </c>
      <c r="P248" t="str">
        <f t="shared" si="13"/>
        <v>No</v>
      </c>
      <c r="Q248" t="str">
        <f t="shared" si="14"/>
        <v>Yes</v>
      </c>
      <c r="R248" t="str">
        <f t="shared" si="15"/>
        <v>Normal</v>
      </c>
    </row>
    <row r="249" spans="1:18" x14ac:dyDescent="0.35">
      <c r="A249" t="s">
        <v>326</v>
      </c>
      <c r="B249" s="2">
        <v>46240</v>
      </c>
      <c r="C249" t="s">
        <v>70</v>
      </c>
      <c r="D249" t="s">
        <v>48</v>
      </c>
      <c r="E249" t="s">
        <v>83</v>
      </c>
      <c r="F249" t="s">
        <v>35</v>
      </c>
      <c r="G249" t="s">
        <v>19</v>
      </c>
      <c r="H249" t="s">
        <v>20</v>
      </c>
      <c r="I249">
        <v>2</v>
      </c>
      <c r="J249" s="3">
        <v>77900</v>
      </c>
      <c r="K249" s="4">
        <v>0.1</v>
      </c>
      <c r="L249" s="3">
        <v>43300</v>
      </c>
      <c r="M249" t="s">
        <v>21</v>
      </c>
      <c r="N249" t="s">
        <v>22</v>
      </c>
      <c r="O249" t="str">
        <f t="shared" si="12"/>
        <v>No</v>
      </c>
      <c r="P249" t="str">
        <f t="shared" si="13"/>
        <v>No</v>
      </c>
      <c r="Q249" t="str">
        <f t="shared" si="14"/>
        <v>No</v>
      </c>
      <c r="R249" t="str">
        <f t="shared" si="15"/>
        <v>Normal</v>
      </c>
    </row>
    <row r="250" spans="1:18" x14ac:dyDescent="0.35">
      <c r="A250" t="s">
        <v>327</v>
      </c>
      <c r="B250" s="2">
        <v>46170</v>
      </c>
      <c r="C250" t="s">
        <v>76</v>
      </c>
      <c r="D250" t="s">
        <v>25</v>
      </c>
      <c r="E250" t="s">
        <v>100</v>
      </c>
      <c r="F250" t="s">
        <v>27</v>
      </c>
      <c r="G250" t="s">
        <v>72</v>
      </c>
      <c r="H250" t="s">
        <v>44</v>
      </c>
      <c r="I250">
        <v>5</v>
      </c>
      <c r="J250" s="3">
        <v>226500</v>
      </c>
      <c r="K250" s="4">
        <v>0.2</v>
      </c>
      <c r="L250" s="3">
        <v>156600</v>
      </c>
      <c r="M250" t="s">
        <v>29</v>
      </c>
      <c r="N250" t="s">
        <v>38</v>
      </c>
      <c r="O250" t="str">
        <f t="shared" si="12"/>
        <v>No</v>
      </c>
      <c r="P250" t="str">
        <f t="shared" si="13"/>
        <v>No</v>
      </c>
      <c r="Q250" t="str">
        <f t="shared" si="14"/>
        <v>No</v>
      </c>
      <c r="R250" t="str">
        <f t="shared" si="15"/>
        <v>Normal</v>
      </c>
    </row>
    <row r="251" spans="1:18" x14ac:dyDescent="0.35">
      <c r="A251" t="s">
        <v>328</v>
      </c>
      <c r="B251" s="2">
        <v>46135</v>
      </c>
      <c r="C251" t="s">
        <v>82</v>
      </c>
      <c r="D251" t="s">
        <v>33</v>
      </c>
      <c r="E251" t="s">
        <v>34</v>
      </c>
      <c r="F251" t="s">
        <v>18</v>
      </c>
      <c r="G251" t="s">
        <v>28</v>
      </c>
      <c r="H251" t="s">
        <v>20</v>
      </c>
      <c r="I251">
        <v>8</v>
      </c>
      <c r="J251" s="3">
        <v>10600</v>
      </c>
      <c r="K251" s="4">
        <v>0.1</v>
      </c>
      <c r="L251" s="3">
        <v>28300</v>
      </c>
      <c r="M251" t="s">
        <v>64</v>
      </c>
      <c r="N251" t="s">
        <v>38</v>
      </c>
      <c r="O251" t="str">
        <f t="shared" si="12"/>
        <v>No</v>
      </c>
      <c r="P251" t="str">
        <f t="shared" si="13"/>
        <v>No</v>
      </c>
      <c r="Q251" t="str">
        <f t="shared" si="14"/>
        <v>Yes</v>
      </c>
      <c r="R251" t="str">
        <f t="shared" si="15"/>
        <v>Normal</v>
      </c>
    </row>
    <row r="252" spans="1:18" x14ac:dyDescent="0.35">
      <c r="A252" t="s">
        <v>329</v>
      </c>
      <c r="B252" s="2">
        <v>46190</v>
      </c>
      <c r="C252" t="s">
        <v>86</v>
      </c>
      <c r="D252" t="s">
        <v>25</v>
      </c>
      <c r="E252" t="s">
        <v>66</v>
      </c>
      <c r="F252" t="s">
        <v>68</v>
      </c>
      <c r="G252" t="s">
        <v>53</v>
      </c>
      <c r="H252" t="s">
        <v>37</v>
      </c>
      <c r="I252">
        <v>3</v>
      </c>
      <c r="J252" s="3">
        <v>743500</v>
      </c>
      <c r="K252" s="4">
        <v>0.05</v>
      </c>
      <c r="L252" s="3">
        <v>556800</v>
      </c>
      <c r="M252" t="s">
        <v>45</v>
      </c>
      <c r="N252" t="s">
        <v>38</v>
      </c>
      <c r="O252" t="str">
        <f t="shared" si="12"/>
        <v>No</v>
      </c>
      <c r="P252" t="str">
        <f t="shared" si="13"/>
        <v>No</v>
      </c>
      <c r="Q252" t="str">
        <f t="shared" si="14"/>
        <v>Yes</v>
      </c>
      <c r="R252" t="str">
        <f t="shared" si="15"/>
        <v>Normal</v>
      </c>
    </row>
    <row r="253" spans="1:18" x14ac:dyDescent="0.35">
      <c r="A253" t="s">
        <v>330</v>
      </c>
      <c r="B253" s="2">
        <v>46023</v>
      </c>
      <c r="C253" t="s">
        <v>70</v>
      </c>
      <c r="D253" t="s">
        <v>25</v>
      </c>
      <c r="E253" t="s">
        <v>26</v>
      </c>
      <c r="F253" t="s">
        <v>42</v>
      </c>
      <c r="G253" t="s">
        <v>53</v>
      </c>
      <c r="H253" t="s">
        <v>37</v>
      </c>
      <c r="I253">
        <v>4</v>
      </c>
      <c r="J253" s="3">
        <v>543200</v>
      </c>
      <c r="K253" s="4">
        <v>0.05</v>
      </c>
      <c r="L253" s="3">
        <v>281900</v>
      </c>
      <c r="M253" t="s">
        <v>29</v>
      </c>
      <c r="N253" t="s">
        <v>38</v>
      </c>
      <c r="O253" t="str">
        <f t="shared" si="12"/>
        <v>No</v>
      </c>
      <c r="P253" t="str">
        <f t="shared" si="13"/>
        <v>No</v>
      </c>
      <c r="Q253" t="str">
        <f t="shared" si="14"/>
        <v>No</v>
      </c>
      <c r="R253" t="str">
        <f t="shared" si="15"/>
        <v>Normal</v>
      </c>
    </row>
    <row r="254" spans="1:18" x14ac:dyDescent="0.35">
      <c r="A254" t="s">
        <v>331</v>
      </c>
      <c r="B254" s="2">
        <v>46200</v>
      </c>
      <c r="C254" t="s">
        <v>47</v>
      </c>
      <c r="D254" t="s">
        <v>25</v>
      </c>
      <c r="E254" t="s">
        <v>100</v>
      </c>
      <c r="F254" t="s">
        <v>18</v>
      </c>
      <c r="G254" t="s">
        <v>19</v>
      </c>
      <c r="H254" t="s">
        <v>20</v>
      </c>
      <c r="I254">
        <v>6</v>
      </c>
      <c r="J254" s="3">
        <v>81800</v>
      </c>
      <c r="K254" s="4">
        <v>0.15</v>
      </c>
      <c r="L254" s="3">
        <v>64500</v>
      </c>
      <c r="M254" t="s">
        <v>29</v>
      </c>
      <c r="N254" t="s">
        <v>38</v>
      </c>
      <c r="O254" t="str">
        <f t="shared" si="12"/>
        <v>No</v>
      </c>
      <c r="P254" t="str">
        <f t="shared" si="13"/>
        <v>No</v>
      </c>
      <c r="Q254" t="str">
        <f t="shared" si="14"/>
        <v>No</v>
      </c>
      <c r="R254" t="str">
        <f t="shared" si="15"/>
        <v>Normal</v>
      </c>
    </row>
    <row r="255" spans="1:18" x14ac:dyDescent="0.35">
      <c r="A255" t="s">
        <v>332</v>
      </c>
      <c r="B255" s="2">
        <v>46120</v>
      </c>
      <c r="C255" t="s">
        <v>57</v>
      </c>
      <c r="D255" t="s">
        <v>48</v>
      </c>
      <c r="E255" t="s">
        <v>49</v>
      </c>
      <c r="F255" t="s">
        <v>68</v>
      </c>
      <c r="G255" t="s">
        <v>28</v>
      </c>
      <c r="H255" t="s">
        <v>20</v>
      </c>
      <c r="I255">
        <v>2</v>
      </c>
      <c r="J255" s="3">
        <v>21000</v>
      </c>
      <c r="K255" s="4">
        <v>0.1</v>
      </c>
      <c r="L255" s="3">
        <v>27200</v>
      </c>
      <c r="M255" t="s">
        <v>29</v>
      </c>
      <c r="N255" t="s">
        <v>38</v>
      </c>
      <c r="O255" t="str">
        <f t="shared" si="12"/>
        <v>Yes</v>
      </c>
      <c r="P255" t="str">
        <f t="shared" si="13"/>
        <v>No</v>
      </c>
      <c r="Q255" t="str">
        <f t="shared" si="14"/>
        <v>No</v>
      </c>
      <c r="R255" t="str">
        <f t="shared" si="15"/>
        <v>Priority</v>
      </c>
    </row>
    <row r="256" spans="1:18" x14ac:dyDescent="0.35">
      <c r="A256" t="s">
        <v>333</v>
      </c>
      <c r="B256" s="2">
        <v>46258</v>
      </c>
      <c r="C256" t="s">
        <v>47</v>
      </c>
      <c r="D256" t="s">
        <v>16</v>
      </c>
      <c r="E256" t="s">
        <v>17</v>
      </c>
      <c r="F256" t="s">
        <v>58</v>
      </c>
      <c r="G256" t="s">
        <v>102</v>
      </c>
      <c r="H256" t="s">
        <v>20</v>
      </c>
      <c r="I256">
        <v>8</v>
      </c>
      <c r="J256" s="3">
        <v>13300</v>
      </c>
      <c r="K256" s="4">
        <v>0.1</v>
      </c>
      <c r="L256" s="3">
        <v>6800</v>
      </c>
      <c r="M256" t="s">
        <v>64</v>
      </c>
      <c r="N256" t="s">
        <v>38</v>
      </c>
      <c r="O256" t="str">
        <f t="shared" si="12"/>
        <v>No</v>
      </c>
      <c r="P256" t="str">
        <f t="shared" si="13"/>
        <v>No</v>
      </c>
      <c r="Q256" t="str">
        <f t="shared" si="14"/>
        <v>Yes</v>
      </c>
      <c r="R256" t="str">
        <f t="shared" si="15"/>
        <v>Normal</v>
      </c>
    </row>
    <row r="257" spans="1:18" x14ac:dyDescent="0.35">
      <c r="A257" t="s">
        <v>334</v>
      </c>
      <c r="B257" s="2">
        <v>46103</v>
      </c>
      <c r="C257" t="s">
        <v>99</v>
      </c>
      <c r="D257" t="s">
        <v>25</v>
      </c>
      <c r="E257" t="s">
        <v>26</v>
      </c>
      <c r="F257" t="s">
        <v>18</v>
      </c>
      <c r="G257" t="s">
        <v>102</v>
      </c>
      <c r="H257" t="s">
        <v>20</v>
      </c>
      <c r="I257">
        <v>2</v>
      </c>
      <c r="J257" s="3">
        <v>17600</v>
      </c>
      <c r="K257" s="4">
        <v>0.15</v>
      </c>
      <c r="L257" s="3">
        <v>9000</v>
      </c>
      <c r="M257" t="s">
        <v>29</v>
      </c>
      <c r="N257" t="s">
        <v>38</v>
      </c>
      <c r="O257" t="str">
        <f t="shared" si="12"/>
        <v>No</v>
      </c>
      <c r="P257" t="str">
        <f t="shared" si="13"/>
        <v>No</v>
      </c>
      <c r="Q257" t="str">
        <f t="shared" si="14"/>
        <v>No</v>
      </c>
      <c r="R257" t="str">
        <f t="shared" si="15"/>
        <v>Normal</v>
      </c>
    </row>
    <row r="258" spans="1:18" x14ac:dyDescent="0.35">
      <c r="A258" t="s">
        <v>335</v>
      </c>
      <c r="B258" s="2">
        <v>46214</v>
      </c>
      <c r="C258" t="s">
        <v>32</v>
      </c>
      <c r="D258" t="s">
        <v>25</v>
      </c>
      <c r="E258" t="s">
        <v>113</v>
      </c>
      <c r="F258" t="s">
        <v>68</v>
      </c>
      <c r="G258" t="s">
        <v>19</v>
      </c>
      <c r="H258" t="s">
        <v>20</v>
      </c>
      <c r="I258">
        <v>5</v>
      </c>
      <c r="J258" s="3">
        <v>54200</v>
      </c>
      <c r="K258" s="4">
        <v>0.1</v>
      </c>
      <c r="L258" s="3">
        <v>49300</v>
      </c>
      <c r="M258" t="s">
        <v>64</v>
      </c>
      <c r="N258" t="s">
        <v>38</v>
      </c>
      <c r="O258" t="str">
        <f t="shared" si="12"/>
        <v>No</v>
      </c>
      <c r="P258" t="str">
        <f t="shared" si="13"/>
        <v>No</v>
      </c>
      <c r="Q258" t="str">
        <f t="shared" si="14"/>
        <v>Yes</v>
      </c>
      <c r="R258" t="str">
        <f t="shared" si="15"/>
        <v>Normal</v>
      </c>
    </row>
    <row r="259" spans="1:18" x14ac:dyDescent="0.35">
      <c r="A259" t="s">
        <v>336</v>
      </c>
      <c r="B259" s="2">
        <v>46250</v>
      </c>
      <c r="C259" t="s">
        <v>24</v>
      </c>
      <c r="D259" t="s">
        <v>25</v>
      </c>
      <c r="E259" t="s">
        <v>100</v>
      </c>
      <c r="F259" t="s">
        <v>42</v>
      </c>
      <c r="G259" t="s">
        <v>28</v>
      </c>
      <c r="H259" t="s">
        <v>20</v>
      </c>
      <c r="I259">
        <v>4</v>
      </c>
      <c r="J259" s="3">
        <v>27500</v>
      </c>
      <c r="K259" s="4">
        <v>0.2</v>
      </c>
      <c r="L259" s="3">
        <v>20500</v>
      </c>
      <c r="M259" t="s">
        <v>21</v>
      </c>
      <c r="N259" t="s">
        <v>30</v>
      </c>
      <c r="O259" t="str">
        <f t="shared" ref="O259:O301" si="16">IF(AND(D259="East", N259="Completed"), "Yes", "No")</f>
        <v>No</v>
      </c>
      <c r="P259" t="str">
        <f t="shared" ref="P259:P301" si="17">IF(AND(I259&gt;=10,N259="Completed"), "Yes", "No")</f>
        <v>No</v>
      </c>
      <c r="Q259" t="str">
        <f t="shared" ref="Q259:Q301" si="18">IF(OR(M259="Cash", M259="USSD"), "Yes", "No")</f>
        <v>No</v>
      </c>
      <c r="R259" t="str">
        <f t="shared" ref="R259:R301" si="19">IF(OR(AND(D259= "East", N259= "Completed"), M259= "Online"), "Priority", "Normal")</f>
        <v>Normal</v>
      </c>
    </row>
    <row r="260" spans="1:18" x14ac:dyDescent="0.35">
      <c r="A260" t="s">
        <v>337</v>
      </c>
      <c r="B260" s="2">
        <v>46220</v>
      </c>
      <c r="C260" t="s">
        <v>124</v>
      </c>
      <c r="D260" t="s">
        <v>25</v>
      </c>
      <c r="E260" t="s">
        <v>100</v>
      </c>
      <c r="F260" t="s">
        <v>58</v>
      </c>
      <c r="G260" t="s">
        <v>43</v>
      </c>
      <c r="H260" t="s">
        <v>44</v>
      </c>
      <c r="I260">
        <v>6</v>
      </c>
      <c r="J260" s="3">
        <v>395900</v>
      </c>
      <c r="K260" s="4">
        <v>0.15</v>
      </c>
      <c r="L260" s="3">
        <v>160500</v>
      </c>
      <c r="M260" t="s">
        <v>21</v>
      </c>
      <c r="N260" t="s">
        <v>38</v>
      </c>
      <c r="O260" t="str">
        <f t="shared" si="16"/>
        <v>No</v>
      </c>
      <c r="P260" t="str">
        <f t="shared" si="17"/>
        <v>No</v>
      </c>
      <c r="Q260" t="str">
        <f t="shared" si="18"/>
        <v>No</v>
      </c>
      <c r="R260" t="str">
        <f t="shared" si="19"/>
        <v>Normal</v>
      </c>
    </row>
    <row r="261" spans="1:18" x14ac:dyDescent="0.35">
      <c r="A261" t="s">
        <v>338</v>
      </c>
      <c r="B261" s="2">
        <v>46183</v>
      </c>
      <c r="C261" t="s">
        <v>32</v>
      </c>
      <c r="D261" t="s">
        <v>16</v>
      </c>
      <c r="E261" t="s">
        <v>63</v>
      </c>
      <c r="F261" t="s">
        <v>27</v>
      </c>
      <c r="G261" t="s">
        <v>19</v>
      </c>
      <c r="H261" t="s">
        <v>20</v>
      </c>
      <c r="I261">
        <v>1</v>
      </c>
      <c r="J261" s="3">
        <v>87700</v>
      </c>
      <c r="K261" s="4">
        <v>0.1</v>
      </c>
      <c r="L261" s="3">
        <v>40900</v>
      </c>
      <c r="M261" t="s">
        <v>64</v>
      </c>
      <c r="N261" t="s">
        <v>38</v>
      </c>
      <c r="O261" t="str">
        <f t="shared" si="16"/>
        <v>No</v>
      </c>
      <c r="P261" t="str">
        <f t="shared" si="17"/>
        <v>No</v>
      </c>
      <c r="Q261" t="str">
        <f t="shared" si="18"/>
        <v>Yes</v>
      </c>
      <c r="R261" t="str">
        <f t="shared" si="19"/>
        <v>Normal</v>
      </c>
    </row>
    <row r="262" spans="1:18" x14ac:dyDescent="0.35">
      <c r="A262" t="s">
        <v>339</v>
      </c>
      <c r="B262" s="2">
        <v>46160</v>
      </c>
      <c r="C262" t="s">
        <v>76</v>
      </c>
      <c r="D262" t="s">
        <v>16</v>
      </c>
      <c r="E262" t="s">
        <v>41</v>
      </c>
      <c r="F262" t="s">
        <v>35</v>
      </c>
      <c r="G262" t="s">
        <v>28</v>
      </c>
      <c r="H262" t="s">
        <v>20</v>
      </c>
      <c r="I262">
        <v>5</v>
      </c>
      <c r="J262" s="3">
        <v>12800</v>
      </c>
      <c r="K262" s="4">
        <v>0.1</v>
      </c>
      <c r="L262" s="3">
        <v>28100</v>
      </c>
      <c r="M262" t="s">
        <v>45</v>
      </c>
      <c r="N262" t="s">
        <v>38</v>
      </c>
      <c r="O262" t="str">
        <f t="shared" si="16"/>
        <v>No</v>
      </c>
      <c r="P262" t="str">
        <f t="shared" si="17"/>
        <v>No</v>
      </c>
      <c r="Q262" t="str">
        <f t="shared" si="18"/>
        <v>Yes</v>
      </c>
      <c r="R262" t="str">
        <f t="shared" si="19"/>
        <v>Normal</v>
      </c>
    </row>
    <row r="263" spans="1:18" x14ac:dyDescent="0.35">
      <c r="A263" t="s">
        <v>340</v>
      </c>
      <c r="B263" s="2">
        <v>46139</v>
      </c>
      <c r="C263" t="s">
        <v>32</v>
      </c>
      <c r="D263" t="s">
        <v>33</v>
      </c>
      <c r="E263" t="s">
        <v>77</v>
      </c>
      <c r="F263" t="s">
        <v>68</v>
      </c>
      <c r="G263" t="s">
        <v>36</v>
      </c>
      <c r="H263" t="s">
        <v>37</v>
      </c>
      <c r="I263">
        <v>1</v>
      </c>
      <c r="J263" s="3">
        <v>136700</v>
      </c>
      <c r="K263" s="4">
        <v>0.05</v>
      </c>
      <c r="L263" s="3">
        <v>181000</v>
      </c>
      <c r="M263" t="s">
        <v>21</v>
      </c>
      <c r="N263" t="s">
        <v>38</v>
      </c>
      <c r="O263" t="str">
        <f t="shared" si="16"/>
        <v>No</v>
      </c>
      <c r="P263" t="str">
        <f t="shared" si="17"/>
        <v>No</v>
      </c>
      <c r="Q263" t="str">
        <f t="shared" si="18"/>
        <v>No</v>
      </c>
      <c r="R263" t="str">
        <f t="shared" si="19"/>
        <v>Normal</v>
      </c>
    </row>
    <row r="264" spans="1:18" x14ac:dyDescent="0.35">
      <c r="A264" t="s">
        <v>341</v>
      </c>
      <c r="B264" s="2">
        <v>46155</v>
      </c>
      <c r="C264" t="s">
        <v>51</v>
      </c>
      <c r="D264" t="s">
        <v>16</v>
      </c>
      <c r="E264" t="s">
        <v>17</v>
      </c>
      <c r="F264" t="s">
        <v>68</v>
      </c>
      <c r="G264" t="s">
        <v>102</v>
      </c>
      <c r="H264" t="s">
        <v>20</v>
      </c>
      <c r="I264">
        <v>1</v>
      </c>
      <c r="J264" s="3">
        <v>9900</v>
      </c>
      <c r="K264" s="4">
        <v>0.2</v>
      </c>
      <c r="L264" s="3">
        <v>16400</v>
      </c>
      <c r="M264" t="s">
        <v>45</v>
      </c>
      <c r="N264" t="s">
        <v>38</v>
      </c>
      <c r="O264" t="str">
        <f t="shared" si="16"/>
        <v>No</v>
      </c>
      <c r="P264" t="str">
        <f t="shared" si="17"/>
        <v>No</v>
      </c>
      <c r="Q264" t="str">
        <f t="shared" si="18"/>
        <v>Yes</v>
      </c>
      <c r="R264" t="str">
        <f t="shared" si="19"/>
        <v>Normal</v>
      </c>
    </row>
    <row r="265" spans="1:18" x14ac:dyDescent="0.35">
      <c r="A265" t="s">
        <v>342</v>
      </c>
      <c r="B265" s="2">
        <v>46183</v>
      </c>
      <c r="C265" t="s">
        <v>47</v>
      </c>
      <c r="D265" t="s">
        <v>33</v>
      </c>
      <c r="E265" t="s">
        <v>34</v>
      </c>
      <c r="F265" t="s">
        <v>18</v>
      </c>
      <c r="G265" t="s">
        <v>78</v>
      </c>
      <c r="H265" t="s">
        <v>37</v>
      </c>
      <c r="I265">
        <v>7</v>
      </c>
      <c r="J265" s="3">
        <v>408800</v>
      </c>
      <c r="K265" s="4">
        <v>0.2</v>
      </c>
      <c r="L265" s="3">
        <v>241100</v>
      </c>
      <c r="M265" t="s">
        <v>21</v>
      </c>
      <c r="N265" t="s">
        <v>38</v>
      </c>
      <c r="O265" t="str">
        <f t="shared" si="16"/>
        <v>No</v>
      </c>
      <c r="P265" t="str">
        <f t="shared" si="17"/>
        <v>No</v>
      </c>
      <c r="Q265" t="str">
        <f t="shared" si="18"/>
        <v>No</v>
      </c>
      <c r="R265" t="str">
        <f t="shared" si="19"/>
        <v>Normal</v>
      </c>
    </row>
    <row r="266" spans="1:18" x14ac:dyDescent="0.35">
      <c r="A266" t="s">
        <v>343</v>
      </c>
      <c r="B266" s="2">
        <v>46195</v>
      </c>
      <c r="C266" t="s">
        <v>108</v>
      </c>
      <c r="D266" t="s">
        <v>33</v>
      </c>
      <c r="E266" t="s">
        <v>34</v>
      </c>
      <c r="F266" t="s">
        <v>42</v>
      </c>
      <c r="G266" t="s">
        <v>102</v>
      </c>
      <c r="H266" t="s">
        <v>20</v>
      </c>
      <c r="I266">
        <v>6</v>
      </c>
      <c r="J266" s="3">
        <v>9800</v>
      </c>
      <c r="K266" s="4">
        <v>0.2</v>
      </c>
      <c r="L266" s="3">
        <v>14100</v>
      </c>
      <c r="M266" t="s">
        <v>21</v>
      </c>
      <c r="N266" t="s">
        <v>38</v>
      </c>
      <c r="O266" t="str">
        <f t="shared" si="16"/>
        <v>No</v>
      </c>
      <c r="P266" t="str">
        <f t="shared" si="17"/>
        <v>No</v>
      </c>
      <c r="Q266" t="str">
        <f t="shared" si="18"/>
        <v>No</v>
      </c>
      <c r="R266" t="str">
        <f t="shared" si="19"/>
        <v>Normal</v>
      </c>
    </row>
    <row r="267" spans="1:18" x14ac:dyDescent="0.35">
      <c r="A267" t="s">
        <v>344</v>
      </c>
      <c r="B267" s="2">
        <v>46068</v>
      </c>
      <c r="C267" t="s">
        <v>108</v>
      </c>
      <c r="D267" t="s">
        <v>16</v>
      </c>
      <c r="E267" t="s">
        <v>17</v>
      </c>
      <c r="F267" t="s">
        <v>18</v>
      </c>
      <c r="G267" t="s">
        <v>36</v>
      </c>
      <c r="H267" t="s">
        <v>37</v>
      </c>
      <c r="I267">
        <v>1</v>
      </c>
      <c r="J267" s="3">
        <v>170800</v>
      </c>
      <c r="K267" s="4">
        <v>0.1</v>
      </c>
      <c r="L267" s="3">
        <v>116000</v>
      </c>
      <c r="M267" t="s">
        <v>21</v>
      </c>
      <c r="N267" t="s">
        <v>38</v>
      </c>
      <c r="O267" t="str">
        <f t="shared" si="16"/>
        <v>No</v>
      </c>
      <c r="P267" t="str">
        <f t="shared" si="17"/>
        <v>No</v>
      </c>
      <c r="Q267" t="str">
        <f t="shared" si="18"/>
        <v>No</v>
      </c>
      <c r="R267" t="str">
        <f t="shared" si="19"/>
        <v>Normal</v>
      </c>
    </row>
    <row r="268" spans="1:18" x14ac:dyDescent="0.35">
      <c r="A268" t="s">
        <v>345</v>
      </c>
      <c r="B268" s="2">
        <v>46053</v>
      </c>
      <c r="C268" t="s">
        <v>86</v>
      </c>
      <c r="D268" t="s">
        <v>25</v>
      </c>
      <c r="E268" t="s">
        <v>113</v>
      </c>
      <c r="F268" t="s">
        <v>27</v>
      </c>
      <c r="G268" t="s">
        <v>43</v>
      </c>
      <c r="H268" t="s">
        <v>44</v>
      </c>
      <c r="I268">
        <v>6</v>
      </c>
      <c r="J268" s="3">
        <v>272100</v>
      </c>
      <c r="K268" s="4">
        <v>0.1</v>
      </c>
      <c r="L268" s="3">
        <v>127300</v>
      </c>
      <c r="M268" t="s">
        <v>21</v>
      </c>
      <c r="N268" t="s">
        <v>38</v>
      </c>
      <c r="O268" t="str">
        <f t="shared" si="16"/>
        <v>No</v>
      </c>
      <c r="P268" t="str">
        <f t="shared" si="17"/>
        <v>No</v>
      </c>
      <c r="Q268" t="str">
        <f t="shared" si="18"/>
        <v>No</v>
      </c>
      <c r="R268" t="str">
        <f t="shared" si="19"/>
        <v>Normal</v>
      </c>
    </row>
    <row r="269" spans="1:18" x14ac:dyDescent="0.35">
      <c r="A269" t="s">
        <v>346</v>
      </c>
      <c r="B269" s="2">
        <v>46164</v>
      </c>
      <c r="C269" t="s">
        <v>108</v>
      </c>
      <c r="D269" t="s">
        <v>16</v>
      </c>
      <c r="E269" t="s">
        <v>87</v>
      </c>
      <c r="F269" t="s">
        <v>18</v>
      </c>
      <c r="G269" t="s">
        <v>72</v>
      </c>
      <c r="H269" t="s">
        <v>44</v>
      </c>
      <c r="I269">
        <v>5</v>
      </c>
      <c r="J269" s="3">
        <v>375300</v>
      </c>
      <c r="K269" s="4">
        <v>0.05</v>
      </c>
      <c r="L269" s="3">
        <v>163900</v>
      </c>
      <c r="M269" t="s">
        <v>64</v>
      </c>
      <c r="N269" t="s">
        <v>38</v>
      </c>
      <c r="O269" t="str">
        <f t="shared" si="16"/>
        <v>No</v>
      </c>
      <c r="P269" t="str">
        <f t="shared" si="17"/>
        <v>No</v>
      </c>
      <c r="Q269" t="str">
        <f t="shared" si="18"/>
        <v>Yes</v>
      </c>
      <c r="R269" t="str">
        <f t="shared" si="19"/>
        <v>Normal</v>
      </c>
    </row>
    <row r="270" spans="1:18" x14ac:dyDescent="0.35">
      <c r="A270" t="s">
        <v>347</v>
      </c>
      <c r="B270" s="2">
        <v>46210</v>
      </c>
      <c r="C270" t="s">
        <v>55</v>
      </c>
      <c r="D270" t="s">
        <v>33</v>
      </c>
      <c r="E270" t="s">
        <v>71</v>
      </c>
      <c r="F270" t="s">
        <v>68</v>
      </c>
      <c r="G270" t="s">
        <v>36</v>
      </c>
      <c r="H270" t="s">
        <v>37</v>
      </c>
      <c r="I270">
        <v>8</v>
      </c>
      <c r="J270" s="3">
        <v>155200</v>
      </c>
      <c r="K270" s="4">
        <v>0.1</v>
      </c>
      <c r="L270" s="3">
        <v>186600</v>
      </c>
      <c r="M270" t="s">
        <v>29</v>
      </c>
      <c r="N270" t="s">
        <v>38</v>
      </c>
      <c r="O270" t="str">
        <f t="shared" si="16"/>
        <v>No</v>
      </c>
      <c r="P270" t="str">
        <f t="shared" si="17"/>
        <v>No</v>
      </c>
      <c r="Q270" t="str">
        <f t="shared" si="18"/>
        <v>No</v>
      </c>
      <c r="R270" t="str">
        <f t="shared" si="19"/>
        <v>Normal</v>
      </c>
    </row>
    <row r="271" spans="1:18" x14ac:dyDescent="0.35">
      <c r="A271" t="s">
        <v>348</v>
      </c>
      <c r="B271" s="2">
        <v>46240</v>
      </c>
      <c r="C271" t="s">
        <v>86</v>
      </c>
      <c r="D271" t="s">
        <v>16</v>
      </c>
      <c r="E271" t="s">
        <v>41</v>
      </c>
      <c r="F271" t="s">
        <v>58</v>
      </c>
      <c r="G271" t="s">
        <v>78</v>
      </c>
      <c r="H271" t="s">
        <v>37</v>
      </c>
      <c r="I271">
        <v>1</v>
      </c>
      <c r="J271" s="3">
        <v>680400</v>
      </c>
      <c r="K271" s="4">
        <v>0.15</v>
      </c>
      <c r="L271" s="3">
        <v>220500</v>
      </c>
      <c r="M271" t="s">
        <v>45</v>
      </c>
      <c r="N271" t="s">
        <v>38</v>
      </c>
      <c r="O271" t="str">
        <f t="shared" si="16"/>
        <v>No</v>
      </c>
      <c r="P271" t="str">
        <f t="shared" si="17"/>
        <v>No</v>
      </c>
      <c r="Q271" t="str">
        <f t="shared" si="18"/>
        <v>Yes</v>
      </c>
      <c r="R271" t="str">
        <f t="shared" si="19"/>
        <v>Normal</v>
      </c>
    </row>
    <row r="272" spans="1:18" x14ac:dyDescent="0.35">
      <c r="A272" t="s">
        <v>349</v>
      </c>
      <c r="B272" s="2">
        <v>46252</v>
      </c>
      <c r="C272" t="s">
        <v>108</v>
      </c>
      <c r="D272" t="s">
        <v>25</v>
      </c>
      <c r="E272" t="s">
        <v>100</v>
      </c>
      <c r="F272" t="s">
        <v>42</v>
      </c>
      <c r="G272" t="s">
        <v>19</v>
      </c>
      <c r="H272" t="s">
        <v>20</v>
      </c>
      <c r="I272">
        <v>3</v>
      </c>
      <c r="J272" s="3">
        <v>77000</v>
      </c>
      <c r="K272" s="4">
        <v>0.1</v>
      </c>
      <c r="L272" s="3">
        <v>28700</v>
      </c>
      <c r="M272" t="s">
        <v>64</v>
      </c>
      <c r="N272" t="s">
        <v>22</v>
      </c>
      <c r="O272" t="str">
        <f t="shared" si="16"/>
        <v>No</v>
      </c>
      <c r="P272" t="str">
        <f t="shared" si="17"/>
        <v>No</v>
      </c>
      <c r="Q272" t="str">
        <f t="shared" si="18"/>
        <v>Yes</v>
      </c>
      <c r="R272" t="str">
        <f t="shared" si="19"/>
        <v>Normal</v>
      </c>
    </row>
    <row r="273" spans="1:18" x14ac:dyDescent="0.35">
      <c r="A273" t="s">
        <v>350</v>
      </c>
      <c r="B273" s="2">
        <v>46174</v>
      </c>
      <c r="C273" t="s">
        <v>70</v>
      </c>
      <c r="D273" t="s">
        <v>48</v>
      </c>
      <c r="E273" t="s">
        <v>49</v>
      </c>
      <c r="F273" t="s">
        <v>58</v>
      </c>
      <c r="G273" t="s">
        <v>28</v>
      </c>
      <c r="H273" t="s">
        <v>20</v>
      </c>
      <c r="I273">
        <v>9</v>
      </c>
      <c r="J273" s="3">
        <v>14700</v>
      </c>
      <c r="K273" s="4">
        <v>0.05</v>
      </c>
      <c r="L273" s="3">
        <v>25800</v>
      </c>
      <c r="M273" t="s">
        <v>21</v>
      </c>
      <c r="N273" t="s">
        <v>38</v>
      </c>
      <c r="O273" t="str">
        <f t="shared" si="16"/>
        <v>Yes</v>
      </c>
      <c r="P273" t="str">
        <f t="shared" si="17"/>
        <v>No</v>
      </c>
      <c r="Q273" t="str">
        <f t="shared" si="18"/>
        <v>No</v>
      </c>
      <c r="R273" t="str">
        <f t="shared" si="19"/>
        <v>Priority</v>
      </c>
    </row>
    <row r="274" spans="1:18" x14ac:dyDescent="0.35">
      <c r="A274" t="s">
        <v>351</v>
      </c>
      <c r="B274" s="2">
        <v>46138</v>
      </c>
      <c r="C274" t="s">
        <v>47</v>
      </c>
      <c r="D274" t="s">
        <v>25</v>
      </c>
      <c r="E274" t="s">
        <v>113</v>
      </c>
      <c r="F274" t="s">
        <v>35</v>
      </c>
      <c r="G274" t="s">
        <v>78</v>
      </c>
      <c r="H274" t="s">
        <v>37</v>
      </c>
      <c r="I274">
        <v>7</v>
      </c>
      <c r="J274" s="3">
        <v>580300</v>
      </c>
      <c r="K274" s="4">
        <v>0.1</v>
      </c>
      <c r="L274" s="3">
        <v>462700</v>
      </c>
      <c r="M274" t="s">
        <v>45</v>
      </c>
      <c r="N274" t="s">
        <v>38</v>
      </c>
      <c r="O274" t="str">
        <f t="shared" si="16"/>
        <v>No</v>
      </c>
      <c r="P274" t="str">
        <f t="shared" si="17"/>
        <v>No</v>
      </c>
      <c r="Q274" t="str">
        <f t="shared" si="18"/>
        <v>Yes</v>
      </c>
      <c r="R274" t="str">
        <f t="shared" si="19"/>
        <v>Normal</v>
      </c>
    </row>
    <row r="275" spans="1:18" x14ac:dyDescent="0.35">
      <c r="A275" t="s">
        <v>352</v>
      </c>
      <c r="B275" s="2">
        <v>46160</v>
      </c>
      <c r="C275" t="s">
        <v>55</v>
      </c>
      <c r="D275" t="s">
        <v>25</v>
      </c>
      <c r="E275" t="s">
        <v>26</v>
      </c>
      <c r="F275" t="s">
        <v>27</v>
      </c>
      <c r="G275" t="s">
        <v>28</v>
      </c>
      <c r="H275" t="s">
        <v>20</v>
      </c>
      <c r="I275">
        <v>3</v>
      </c>
      <c r="J275" s="3">
        <v>25700</v>
      </c>
      <c r="K275" s="4">
        <v>0.05</v>
      </c>
      <c r="L275" s="3">
        <v>13900</v>
      </c>
      <c r="M275" t="s">
        <v>45</v>
      </c>
      <c r="N275" t="s">
        <v>30</v>
      </c>
      <c r="O275" t="str">
        <f t="shared" si="16"/>
        <v>No</v>
      </c>
      <c r="P275" t="str">
        <f t="shared" si="17"/>
        <v>No</v>
      </c>
      <c r="Q275" t="str">
        <f t="shared" si="18"/>
        <v>Yes</v>
      </c>
      <c r="R275" t="str">
        <f t="shared" si="19"/>
        <v>Normal</v>
      </c>
    </row>
    <row r="276" spans="1:18" x14ac:dyDescent="0.35">
      <c r="A276" t="s">
        <v>353</v>
      </c>
      <c r="B276" s="2">
        <v>46234</v>
      </c>
      <c r="C276" t="s">
        <v>55</v>
      </c>
      <c r="D276" t="s">
        <v>48</v>
      </c>
      <c r="E276" t="s">
        <v>104</v>
      </c>
      <c r="F276" t="s">
        <v>42</v>
      </c>
      <c r="G276" t="s">
        <v>53</v>
      </c>
      <c r="H276" t="s">
        <v>37</v>
      </c>
      <c r="I276">
        <v>2</v>
      </c>
      <c r="J276" s="3">
        <v>390700</v>
      </c>
      <c r="K276" s="4">
        <v>0.1</v>
      </c>
      <c r="L276" s="3">
        <v>532700</v>
      </c>
      <c r="M276" t="s">
        <v>21</v>
      </c>
      <c r="N276" t="s">
        <v>38</v>
      </c>
      <c r="O276" t="str">
        <f t="shared" si="16"/>
        <v>Yes</v>
      </c>
      <c r="P276" t="str">
        <f t="shared" si="17"/>
        <v>No</v>
      </c>
      <c r="Q276" t="str">
        <f t="shared" si="18"/>
        <v>No</v>
      </c>
      <c r="R276" t="str">
        <f t="shared" si="19"/>
        <v>Priority</v>
      </c>
    </row>
    <row r="277" spans="1:18" x14ac:dyDescent="0.35">
      <c r="A277" t="s">
        <v>354</v>
      </c>
      <c r="B277" s="2">
        <v>46089</v>
      </c>
      <c r="C277" t="s">
        <v>124</v>
      </c>
      <c r="D277" t="s">
        <v>25</v>
      </c>
      <c r="E277" t="s">
        <v>26</v>
      </c>
      <c r="F277" t="s">
        <v>68</v>
      </c>
      <c r="G277" t="s">
        <v>36</v>
      </c>
      <c r="H277" t="s">
        <v>37</v>
      </c>
      <c r="I277">
        <v>6</v>
      </c>
      <c r="J277" s="3">
        <v>159400</v>
      </c>
      <c r="K277" s="4">
        <v>0.1</v>
      </c>
      <c r="L277" s="3">
        <v>75900</v>
      </c>
      <c r="M277" t="s">
        <v>29</v>
      </c>
      <c r="N277" t="s">
        <v>38</v>
      </c>
      <c r="O277" t="str">
        <f t="shared" si="16"/>
        <v>No</v>
      </c>
      <c r="P277" t="str">
        <f t="shared" si="17"/>
        <v>No</v>
      </c>
      <c r="Q277" t="str">
        <f t="shared" si="18"/>
        <v>No</v>
      </c>
      <c r="R277" t="str">
        <f t="shared" si="19"/>
        <v>Normal</v>
      </c>
    </row>
    <row r="278" spans="1:18" x14ac:dyDescent="0.35">
      <c r="A278" t="s">
        <v>355</v>
      </c>
      <c r="B278" s="2">
        <v>46038</v>
      </c>
      <c r="C278" t="s">
        <v>76</v>
      </c>
      <c r="D278" t="s">
        <v>48</v>
      </c>
      <c r="E278" t="s">
        <v>165</v>
      </c>
      <c r="F278" t="s">
        <v>18</v>
      </c>
      <c r="G278" t="s">
        <v>72</v>
      </c>
      <c r="H278" t="s">
        <v>44</v>
      </c>
      <c r="I278">
        <v>2</v>
      </c>
      <c r="J278" s="3">
        <v>385300</v>
      </c>
      <c r="K278" s="4">
        <v>0.05</v>
      </c>
      <c r="L278" s="3">
        <v>117700</v>
      </c>
      <c r="M278" t="s">
        <v>29</v>
      </c>
      <c r="N278" t="s">
        <v>38</v>
      </c>
      <c r="O278" t="str">
        <f t="shared" si="16"/>
        <v>Yes</v>
      </c>
      <c r="P278" t="str">
        <f t="shared" si="17"/>
        <v>No</v>
      </c>
      <c r="Q278" t="str">
        <f t="shared" si="18"/>
        <v>No</v>
      </c>
      <c r="R278" t="str">
        <f t="shared" si="19"/>
        <v>Priority</v>
      </c>
    </row>
    <row r="279" spans="1:18" x14ac:dyDescent="0.35">
      <c r="A279" t="s">
        <v>356</v>
      </c>
      <c r="B279" s="2">
        <v>46230</v>
      </c>
      <c r="C279" t="s">
        <v>76</v>
      </c>
      <c r="D279" t="s">
        <v>33</v>
      </c>
      <c r="E279" t="s">
        <v>34</v>
      </c>
      <c r="F279" t="s">
        <v>58</v>
      </c>
      <c r="G279" t="s">
        <v>53</v>
      </c>
      <c r="H279" t="s">
        <v>37</v>
      </c>
      <c r="I279">
        <v>2</v>
      </c>
      <c r="J279" s="3">
        <v>359800</v>
      </c>
      <c r="K279" s="4">
        <v>0.15</v>
      </c>
      <c r="L279" s="3">
        <v>272600</v>
      </c>
      <c r="M279" t="s">
        <v>29</v>
      </c>
      <c r="N279" t="s">
        <v>38</v>
      </c>
      <c r="O279" t="str">
        <f t="shared" si="16"/>
        <v>No</v>
      </c>
      <c r="P279" t="str">
        <f t="shared" si="17"/>
        <v>No</v>
      </c>
      <c r="Q279" t="str">
        <f t="shared" si="18"/>
        <v>No</v>
      </c>
      <c r="R279" t="str">
        <f t="shared" si="19"/>
        <v>Normal</v>
      </c>
    </row>
    <row r="280" spans="1:18" x14ac:dyDescent="0.35">
      <c r="A280" t="s">
        <v>357</v>
      </c>
      <c r="B280" s="2">
        <v>46150</v>
      </c>
      <c r="C280" t="s">
        <v>124</v>
      </c>
      <c r="D280" t="s">
        <v>16</v>
      </c>
      <c r="E280" t="s">
        <v>17</v>
      </c>
      <c r="F280" t="s">
        <v>42</v>
      </c>
      <c r="G280" t="s">
        <v>19</v>
      </c>
      <c r="H280" t="s">
        <v>20</v>
      </c>
      <c r="I280">
        <v>3</v>
      </c>
      <c r="J280" s="3">
        <v>86600</v>
      </c>
      <c r="K280" s="4">
        <v>0.15</v>
      </c>
      <c r="L280" s="3">
        <v>42300</v>
      </c>
      <c r="M280" t="s">
        <v>21</v>
      </c>
      <c r="N280" t="s">
        <v>38</v>
      </c>
      <c r="O280" t="str">
        <f t="shared" si="16"/>
        <v>No</v>
      </c>
      <c r="P280" t="str">
        <f t="shared" si="17"/>
        <v>No</v>
      </c>
      <c r="Q280" t="str">
        <f t="shared" si="18"/>
        <v>No</v>
      </c>
      <c r="R280" t="str">
        <f t="shared" si="19"/>
        <v>Normal</v>
      </c>
    </row>
    <row r="281" spans="1:18" x14ac:dyDescent="0.35">
      <c r="A281" t="s">
        <v>358</v>
      </c>
      <c r="B281" s="2">
        <v>46180</v>
      </c>
      <c r="C281" t="s">
        <v>86</v>
      </c>
      <c r="D281" t="s">
        <v>25</v>
      </c>
      <c r="E281" t="s">
        <v>113</v>
      </c>
      <c r="F281" t="s">
        <v>27</v>
      </c>
      <c r="G281" t="s">
        <v>102</v>
      </c>
      <c r="H281" t="s">
        <v>20</v>
      </c>
      <c r="I281">
        <v>5</v>
      </c>
      <c r="J281" s="3">
        <v>12000</v>
      </c>
      <c r="K281" s="4">
        <v>0.05</v>
      </c>
      <c r="L281" s="3">
        <v>15500</v>
      </c>
      <c r="M281" t="s">
        <v>29</v>
      </c>
      <c r="N281" t="s">
        <v>38</v>
      </c>
      <c r="O281" t="str">
        <f t="shared" si="16"/>
        <v>No</v>
      </c>
      <c r="P281" t="str">
        <f t="shared" si="17"/>
        <v>No</v>
      </c>
      <c r="Q281" t="str">
        <f t="shared" si="18"/>
        <v>No</v>
      </c>
      <c r="R281" t="str">
        <f t="shared" si="19"/>
        <v>Normal</v>
      </c>
    </row>
    <row r="282" spans="1:18" x14ac:dyDescent="0.35">
      <c r="A282" t="s">
        <v>359</v>
      </c>
      <c r="B282" s="2">
        <v>46086</v>
      </c>
      <c r="C282" t="s">
        <v>82</v>
      </c>
      <c r="D282" t="s">
        <v>48</v>
      </c>
      <c r="E282" t="s">
        <v>83</v>
      </c>
      <c r="F282" t="s">
        <v>18</v>
      </c>
      <c r="G282" t="s">
        <v>28</v>
      </c>
      <c r="H282" t="s">
        <v>20</v>
      </c>
      <c r="I282">
        <v>5</v>
      </c>
      <c r="J282" s="3">
        <v>23400</v>
      </c>
      <c r="K282" s="4">
        <v>0.2</v>
      </c>
      <c r="L282" s="3">
        <v>16400</v>
      </c>
      <c r="M282" t="s">
        <v>21</v>
      </c>
      <c r="N282" t="s">
        <v>30</v>
      </c>
      <c r="O282" t="str">
        <f t="shared" si="16"/>
        <v>No</v>
      </c>
      <c r="P282" t="str">
        <f t="shared" si="17"/>
        <v>No</v>
      </c>
      <c r="Q282" t="str">
        <f t="shared" si="18"/>
        <v>No</v>
      </c>
      <c r="R282" t="str">
        <f t="shared" si="19"/>
        <v>Normal</v>
      </c>
    </row>
    <row r="283" spans="1:18" x14ac:dyDescent="0.35">
      <c r="A283" t="s">
        <v>360</v>
      </c>
      <c r="B283" s="2">
        <v>46079</v>
      </c>
      <c r="C283" t="s">
        <v>70</v>
      </c>
      <c r="D283" t="s">
        <v>48</v>
      </c>
      <c r="E283" t="s">
        <v>83</v>
      </c>
      <c r="F283" t="s">
        <v>35</v>
      </c>
      <c r="G283" t="s">
        <v>78</v>
      </c>
      <c r="H283" t="s">
        <v>37</v>
      </c>
      <c r="I283">
        <v>7</v>
      </c>
      <c r="J283" s="3">
        <v>408200</v>
      </c>
      <c r="K283" s="4">
        <v>0.2</v>
      </c>
      <c r="L283" s="3">
        <v>228600</v>
      </c>
      <c r="M283" t="s">
        <v>21</v>
      </c>
      <c r="N283" t="s">
        <v>22</v>
      </c>
      <c r="O283" t="str">
        <f t="shared" si="16"/>
        <v>No</v>
      </c>
      <c r="P283" t="str">
        <f t="shared" si="17"/>
        <v>No</v>
      </c>
      <c r="Q283" t="str">
        <f t="shared" si="18"/>
        <v>No</v>
      </c>
      <c r="R283" t="str">
        <f t="shared" si="19"/>
        <v>Normal</v>
      </c>
    </row>
    <row r="284" spans="1:18" x14ac:dyDescent="0.35">
      <c r="A284" t="s">
        <v>361</v>
      </c>
      <c r="B284" s="2">
        <v>46086</v>
      </c>
      <c r="C284" t="s">
        <v>60</v>
      </c>
      <c r="D284" t="s">
        <v>16</v>
      </c>
      <c r="E284" t="s">
        <v>87</v>
      </c>
      <c r="F284" t="s">
        <v>58</v>
      </c>
      <c r="G284" t="s">
        <v>78</v>
      </c>
      <c r="H284" t="s">
        <v>37</v>
      </c>
      <c r="I284">
        <v>10</v>
      </c>
      <c r="J284" s="3">
        <v>699800</v>
      </c>
      <c r="K284" s="4">
        <v>0.05</v>
      </c>
      <c r="L284" s="3">
        <v>541400</v>
      </c>
      <c r="M284" t="s">
        <v>29</v>
      </c>
      <c r="N284" t="s">
        <v>38</v>
      </c>
      <c r="O284" t="str">
        <f t="shared" si="16"/>
        <v>No</v>
      </c>
      <c r="P284" t="str">
        <f t="shared" si="17"/>
        <v>Yes</v>
      </c>
      <c r="Q284" t="str">
        <f t="shared" si="18"/>
        <v>No</v>
      </c>
      <c r="R284" t="str">
        <f t="shared" si="19"/>
        <v>Normal</v>
      </c>
    </row>
    <row r="285" spans="1:18" x14ac:dyDescent="0.35">
      <c r="A285" t="s">
        <v>362</v>
      </c>
      <c r="B285" s="2">
        <v>46256</v>
      </c>
      <c r="C285" t="s">
        <v>24</v>
      </c>
      <c r="D285" t="s">
        <v>25</v>
      </c>
      <c r="E285" t="s">
        <v>100</v>
      </c>
      <c r="F285" t="s">
        <v>35</v>
      </c>
      <c r="G285" t="s">
        <v>102</v>
      </c>
      <c r="H285" t="s">
        <v>20</v>
      </c>
      <c r="I285">
        <v>3</v>
      </c>
      <c r="J285" s="3">
        <v>11300</v>
      </c>
      <c r="K285" s="4">
        <v>0.1</v>
      </c>
      <c r="L285" s="3">
        <v>8100</v>
      </c>
      <c r="M285" t="s">
        <v>21</v>
      </c>
      <c r="N285" t="s">
        <v>22</v>
      </c>
      <c r="O285" t="str">
        <f t="shared" si="16"/>
        <v>No</v>
      </c>
      <c r="P285" t="str">
        <f t="shared" si="17"/>
        <v>No</v>
      </c>
      <c r="Q285" t="str">
        <f t="shared" si="18"/>
        <v>No</v>
      </c>
      <c r="R285" t="str">
        <f t="shared" si="19"/>
        <v>Normal</v>
      </c>
    </row>
    <row r="286" spans="1:18" x14ac:dyDescent="0.35">
      <c r="A286" t="s">
        <v>363</v>
      </c>
      <c r="B286" s="2">
        <v>46177</v>
      </c>
      <c r="C286" t="s">
        <v>70</v>
      </c>
      <c r="D286" t="s">
        <v>25</v>
      </c>
      <c r="E286" t="s">
        <v>66</v>
      </c>
      <c r="F286" t="s">
        <v>42</v>
      </c>
      <c r="G286" t="s">
        <v>53</v>
      </c>
      <c r="H286" t="s">
        <v>37</v>
      </c>
      <c r="I286">
        <v>3</v>
      </c>
      <c r="J286" s="3">
        <v>570700</v>
      </c>
      <c r="K286" s="4">
        <v>0.1</v>
      </c>
      <c r="L286" s="3">
        <v>281600</v>
      </c>
      <c r="M286" t="s">
        <v>29</v>
      </c>
      <c r="N286" t="s">
        <v>38</v>
      </c>
      <c r="O286" t="str">
        <f t="shared" si="16"/>
        <v>No</v>
      </c>
      <c r="P286" t="str">
        <f t="shared" si="17"/>
        <v>No</v>
      </c>
      <c r="Q286" t="str">
        <f t="shared" si="18"/>
        <v>No</v>
      </c>
      <c r="R286" t="str">
        <f t="shared" si="19"/>
        <v>Normal</v>
      </c>
    </row>
    <row r="287" spans="1:18" x14ac:dyDescent="0.35">
      <c r="A287" t="s">
        <v>364</v>
      </c>
      <c r="B287" s="2">
        <v>46038</v>
      </c>
      <c r="C287" t="s">
        <v>82</v>
      </c>
      <c r="D287" t="s">
        <v>16</v>
      </c>
      <c r="E287" t="s">
        <v>63</v>
      </c>
      <c r="F287" t="s">
        <v>58</v>
      </c>
      <c r="G287" t="s">
        <v>36</v>
      </c>
      <c r="H287" t="s">
        <v>37</v>
      </c>
      <c r="I287">
        <v>3</v>
      </c>
      <c r="J287" s="3">
        <v>151100</v>
      </c>
      <c r="K287" s="4">
        <v>0.1</v>
      </c>
      <c r="L287" s="3">
        <v>91300</v>
      </c>
      <c r="M287" t="s">
        <v>21</v>
      </c>
      <c r="N287" t="s">
        <v>38</v>
      </c>
      <c r="O287" t="str">
        <f t="shared" si="16"/>
        <v>No</v>
      </c>
      <c r="P287" t="str">
        <f t="shared" si="17"/>
        <v>No</v>
      </c>
      <c r="Q287" t="str">
        <f t="shared" si="18"/>
        <v>No</v>
      </c>
      <c r="R287" t="str">
        <f t="shared" si="19"/>
        <v>Normal</v>
      </c>
    </row>
    <row r="288" spans="1:18" x14ac:dyDescent="0.35">
      <c r="A288" t="s">
        <v>365</v>
      </c>
      <c r="B288" s="2">
        <v>46057</v>
      </c>
      <c r="C288" t="s">
        <v>47</v>
      </c>
      <c r="D288" t="s">
        <v>16</v>
      </c>
      <c r="E288" t="s">
        <v>63</v>
      </c>
      <c r="F288" t="s">
        <v>18</v>
      </c>
      <c r="G288" t="s">
        <v>78</v>
      </c>
      <c r="H288" t="s">
        <v>37</v>
      </c>
      <c r="I288">
        <v>7</v>
      </c>
      <c r="J288" s="3">
        <v>534400</v>
      </c>
      <c r="K288" s="4">
        <v>0.1</v>
      </c>
      <c r="L288" s="3">
        <v>331100</v>
      </c>
      <c r="M288" t="s">
        <v>29</v>
      </c>
      <c r="N288" t="s">
        <v>22</v>
      </c>
      <c r="O288" t="str">
        <f t="shared" si="16"/>
        <v>No</v>
      </c>
      <c r="P288" t="str">
        <f t="shared" si="17"/>
        <v>No</v>
      </c>
      <c r="Q288" t="str">
        <f t="shared" si="18"/>
        <v>No</v>
      </c>
      <c r="R288" t="str">
        <f t="shared" si="19"/>
        <v>Normal</v>
      </c>
    </row>
    <row r="289" spans="1:18" x14ac:dyDescent="0.35">
      <c r="A289" t="s">
        <v>366</v>
      </c>
      <c r="B289" s="2">
        <v>46101</v>
      </c>
      <c r="C289" t="s">
        <v>86</v>
      </c>
      <c r="D289" t="s">
        <v>48</v>
      </c>
      <c r="E289" t="s">
        <v>104</v>
      </c>
      <c r="F289" t="s">
        <v>27</v>
      </c>
      <c r="G289" t="s">
        <v>78</v>
      </c>
      <c r="H289" t="s">
        <v>37</v>
      </c>
      <c r="I289">
        <v>4</v>
      </c>
      <c r="J289" s="3">
        <v>566200</v>
      </c>
      <c r="K289" s="4">
        <v>0.15</v>
      </c>
      <c r="L289" s="3">
        <v>488800</v>
      </c>
      <c r="M289" t="s">
        <v>45</v>
      </c>
      <c r="N289" t="s">
        <v>38</v>
      </c>
      <c r="O289" t="str">
        <f t="shared" si="16"/>
        <v>Yes</v>
      </c>
      <c r="P289" t="str">
        <f t="shared" si="17"/>
        <v>No</v>
      </c>
      <c r="Q289" t="str">
        <f t="shared" si="18"/>
        <v>Yes</v>
      </c>
      <c r="R289" t="str">
        <f t="shared" si="19"/>
        <v>Priority</v>
      </c>
    </row>
    <row r="290" spans="1:18" x14ac:dyDescent="0.35">
      <c r="A290" t="s">
        <v>367</v>
      </c>
      <c r="B290" s="2">
        <v>46059</v>
      </c>
      <c r="C290" t="s">
        <v>15</v>
      </c>
      <c r="D290" t="s">
        <v>48</v>
      </c>
      <c r="E290" t="s">
        <v>49</v>
      </c>
      <c r="F290" t="s">
        <v>27</v>
      </c>
      <c r="G290" t="s">
        <v>78</v>
      </c>
      <c r="H290" t="s">
        <v>37</v>
      </c>
      <c r="I290">
        <v>10</v>
      </c>
      <c r="J290" s="3">
        <v>388400</v>
      </c>
      <c r="K290" s="4">
        <v>0.15</v>
      </c>
      <c r="L290" s="3">
        <v>406600</v>
      </c>
      <c r="M290" t="s">
        <v>45</v>
      </c>
      <c r="N290" t="s">
        <v>22</v>
      </c>
      <c r="O290" t="str">
        <f t="shared" si="16"/>
        <v>No</v>
      </c>
      <c r="P290" t="str">
        <f t="shared" si="17"/>
        <v>No</v>
      </c>
      <c r="Q290" t="str">
        <f t="shared" si="18"/>
        <v>Yes</v>
      </c>
      <c r="R290" t="str">
        <f t="shared" si="19"/>
        <v>Normal</v>
      </c>
    </row>
    <row r="291" spans="1:18" x14ac:dyDescent="0.35">
      <c r="A291" t="s">
        <v>368</v>
      </c>
      <c r="B291" s="2">
        <v>46200</v>
      </c>
      <c r="C291" t="s">
        <v>57</v>
      </c>
      <c r="D291" t="s">
        <v>33</v>
      </c>
      <c r="E291" t="s">
        <v>71</v>
      </c>
      <c r="F291" t="s">
        <v>27</v>
      </c>
      <c r="G291" t="s">
        <v>28</v>
      </c>
      <c r="H291" t="s">
        <v>20</v>
      </c>
      <c r="I291">
        <v>6</v>
      </c>
      <c r="J291" s="3">
        <v>25600</v>
      </c>
      <c r="K291" s="4">
        <v>0.1</v>
      </c>
      <c r="L291" s="3">
        <v>12700</v>
      </c>
      <c r="M291" t="s">
        <v>21</v>
      </c>
      <c r="N291" t="s">
        <v>38</v>
      </c>
      <c r="O291" t="str">
        <f t="shared" si="16"/>
        <v>No</v>
      </c>
      <c r="P291" t="str">
        <f t="shared" si="17"/>
        <v>No</v>
      </c>
      <c r="Q291" t="str">
        <f t="shared" si="18"/>
        <v>No</v>
      </c>
      <c r="R291" t="str">
        <f t="shared" si="19"/>
        <v>Normal</v>
      </c>
    </row>
    <row r="292" spans="1:18" x14ac:dyDescent="0.35">
      <c r="A292" t="s">
        <v>369</v>
      </c>
      <c r="B292" s="2">
        <v>46248</v>
      </c>
      <c r="C292" t="s">
        <v>62</v>
      </c>
      <c r="D292" t="s">
        <v>16</v>
      </c>
      <c r="E292" t="s">
        <v>17</v>
      </c>
      <c r="F292" t="s">
        <v>42</v>
      </c>
      <c r="G292" t="s">
        <v>72</v>
      </c>
      <c r="H292" t="s">
        <v>44</v>
      </c>
      <c r="I292">
        <v>7</v>
      </c>
      <c r="J292" s="3">
        <v>439800</v>
      </c>
      <c r="K292" s="4">
        <v>0.15</v>
      </c>
      <c r="L292" s="3">
        <v>318800</v>
      </c>
      <c r="M292" t="s">
        <v>64</v>
      </c>
      <c r="N292" t="s">
        <v>38</v>
      </c>
      <c r="O292" t="str">
        <f t="shared" si="16"/>
        <v>No</v>
      </c>
      <c r="P292" t="str">
        <f t="shared" si="17"/>
        <v>No</v>
      </c>
      <c r="Q292" t="str">
        <f t="shared" si="18"/>
        <v>Yes</v>
      </c>
      <c r="R292" t="str">
        <f t="shared" si="19"/>
        <v>Normal</v>
      </c>
    </row>
    <row r="293" spans="1:18" x14ac:dyDescent="0.35">
      <c r="A293" t="s">
        <v>370</v>
      </c>
      <c r="B293" s="2">
        <v>46098</v>
      </c>
      <c r="C293" t="s">
        <v>76</v>
      </c>
      <c r="D293" t="s">
        <v>16</v>
      </c>
      <c r="E293" t="s">
        <v>87</v>
      </c>
      <c r="F293" t="s">
        <v>58</v>
      </c>
      <c r="G293" t="s">
        <v>36</v>
      </c>
      <c r="H293" t="s">
        <v>37</v>
      </c>
      <c r="I293">
        <v>3</v>
      </c>
      <c r="J293" s="3">
        <v>167700</v>
      </c>
      <c r="K293" s="4">
        <v>0.05</v>
      </c>
      <c r="L293" s="3">
        <v>165900</v>
      </c>
      <c r="M293" t="s">
        <v>21</v>
      </c>
      <c r="N293" t="s">
        <v>38</v>
      </c>
      <c r="O293" t="str">
        <f t="shared" si="16"/>
        <v>No</v>
      </c>
      <c r="P293" t="str">
        <f t="shared" si="17"/>
        <v>No</v>
      </c>
      <c r="Q293" t="str">
        <f t="shared" si="18"/>
        <v>No</v>
      </c>
      <c r="R293" t="str">
        <f t="shared" si="19"/>
        <v>Normal</v>
      </c>
    </row>
    <row r="294" spans="1:18" x14ac:dyDescent="0.35">
      <c r="A294" t="s">
        <v>371</v>
      </c>
      <c r="B294" s="2">
        <v>46109</v>
      </c>
      <c r="C294" t="s">
        <v>62</v>
      </c>
      <c r="D294" t="s">
        <v>16</v>
      </c>
      <c r="E294" t="s">
        <v>63</v>
      </c>
      <c r="F294" t="s">
        <v>27</v>
      </c>
      <c r="G294" t="s">
        <v>43</v>
      </c>
      <c r="H294" t="s">
        <v>44</v>
      </c>
      <c r="I294">
        <v>3</v>
      </c>
      <c r="J294" s="3">
        <v>479400</v>
      </c>
      <c r="K294" s="4">
        <v>0.05</v>
      </c>
      <c r="L294" s="3">
        <v>291500</v>
      </c>
      <c r="M294" t="s">
        <v>64</v>
      </c>
      <c r="N294" t="s">
        <v>22</v>
      </c>
      <c r="O294" t="str">
        <f t="shared" si="16"/>
        <v>No</v>
      </c>
      <c r="P294" t="str">
        <f t="shared" si="17"/>
        <v>No</v>
      </c>
      <c r="Q294" t="str">
        <f t="shared" si="18"/>
        <v>Yes</v>
      </c>
      <c r="R294" t="str">
        <f t="shared" si="19"/>
        <v>Normal</v>
      </c>
    </row>
    <row r="295" spans="1:18" x14ac:dyDescent="0.35">
      <c r="A295" t="s">
        <v>372</v>
      </c>
      <c r="B295" s="2">
        <v>46201</v>
      </c>
      <c r="C295" t="s">
        <v>86</v>
      </c>
      <c r="D295" t="s">
        <v>25</v>
      </c>
      <c r="E295" t="s">
        <v>100</v>
      </c>
      <c r="F295" t="s">
        <v>27</v>
      </c>
      <c r="G295" t="s">
        <v>19</v>
      </c>
      <c r="H295" t="s">
        <v>20</v>
      </c>
      <c r="I295">
        <v>2</v>
      </c>
      <c r="J295" s="3">
        <v>59900</v>
      </c>
      <c r="K295" s="4">
        <v>0.15</v>
      </c>
      <c r="L295" s="3">
        <v>64000</v>
      </c>
      <c r="M295" t="s">
        <v>45</v>
      </c>
      <c r="N295" t="s">
        <v>38</v>
      </c>
      <c r="O295" t="str">
        <f t="shared" si="16"/>
        <v>No</v>
      </c>
      <c r="P295" t="str">
        <f t="shared" si="17"/>
        <v>No</v>
      </c>
      <c r="Q295" t="str">
        <f t="shared" si="18"/>
        <v>Yes</v>
      </c>
      <c r="R295" t="str">
        <f t="shared" si="19"/>
        <v>Normal</v>
      </c>
    </row>
    <row r="296" spans="1:18" x14ac:dyDescent="0.35">
      <c r="A296" t="s">
        <v>373</v>
      </c>
      <c r="B296" s="2">
        <v>46115</v>
      </c>
      <c r="C296" t="s">
        <v>106</v>
      </c>
      <c r="D296" t="s">
        <v>25</v>
      </c>
      <c r="E296" t="s">
        <v>26</v>
      </c>
      <c r="F296" t="s">
        <v>18</v>
      </c>
      <c r="G296" t="s">
        <v>43</v>
      </c>
      <c r="H296" t="s">
        <v>44</v>
      </c>
      <c r="I296">
        <v>10</v>
      </c>
      <c r="J296" s="3">
        <v>397300</v>
      </c>
      <c r="K296" s="4">
        <v>0.05</v>
      </c>
      <c r="L296" s="3">
        <v>271800</v>
      </c>
      <c r="M296" t="s">
        <v>21</v>
      </c>
      <c r="N296" t="s">
        <v>38</v>
      </c>
      <c r="O296" t="str">
        <f t="shared" si="16"/>
        <v>No</v>
      </c>
      <c r="P296" t="str">
        <f t="shared" si="17"/>
        <v>Yes</v>
      </c>
      <c r="Q296" t="str">
        <f t="shared" si="18"/>
        <v>No</v>
      </c>
      <c r="R296" t="str">
        <f t="shared" si="19"/>
        <v>Normal</v>
      </c>
    </row>
    <row r="297" spans="1:18" x14ac:dyDescent="0.35">
      <c r="A297" t="s">
        <v>374</v>
      </c>
      <c r="B297" s="2">
        <v>46144</v>
      </c>
      <c r="C297" t="s">
        <v>106</v>
      </c>
      <c r="D297" t="s">
        <v>48</v>
      </c>
      <c r="E297" t="s">
        <v>165</v>
      </c>
      <c r="F297" t="s">
        <v>18</v>
      </c>
      <c r="G297" t="s">
        <v>19</v>
      </c>
      <c r="H297" t="s">
        <v>20</v>
      </c>
      <c r="I297">
        <v>4</v>
      </c>
      <c r="J297" s="3">
        <v>52700</v>
      </c>
      <c r="K297" s="4">
        <v>0.05</v>
      </c>
      <c r="L297" s="3">
        <v>36700</v>
      </c>
      <c r="M297" t="s">
        <v>21</v>
      </c>
      <c r="N297" t="s">
        <v>38</v>
      </c>
      <c r="O297" t="str">
        <f t="shared" si="16"/>
        <v>Yes</v>
      </c>
      <c r="P297" t="str">
        <f t="shared" si="17"/>
        <v>No</v>
      </c>
      <c r="Q297" t="str">
        <f t="shared" si="18"/>
        <v>No</v>
      </c>
      <c r="R297" t="str">
        <f t="shared" si="19"/>
        <v>Priority</v>
      </c>
    </row>
    <row r="298" spans="1:18" x14ac:dyDescent="0.35">
      <c r="A298" t="s">
        <v>375</v>
      </c>
      <c r="B298" s="2">
        <v>46249</v>
      </c>
      <c r="C298" t="s">
        <v>76</v>
      </c>
      <c r="D298" t="s">
        <v>48</v>
      </c>
      <c r="E298" t="s">
        <v>83</v>
      </c>
      <c r="F298" t="s">
        <v>68</v>
      </c>
      <c r="G298" t="s">
        <v>53</v>
      </c>
      <c r="H298" t="s">
        <v>37</v>
      </c>
      <c r="I298">
        <v>2</v>
      </c>
      <c r="J298" s="3">
        <v>638800</v>
      </c>
      <c r="K298" s="4">
        <v>0.1</v>
      </c>
      <c r="L298" s="3">
        <v>385600</v>
      </c>
      <c r="M298" t="s">
        <v>64</v>
      </c>
      <c r="N298" t="s">
        <v>38</v>
      </c>
      <c r="O298" t="str">
        <f t="shared" si="16"/>
        <v>Yes</v>
      </c>
      <c r="P298" t="str">
        <f t="shared" si="17"/>
        <v>No</v>
      </c>
      <c r="Q298" t="str">
        <f t="shared" si="18"/>
        <v>Yes</v>
      </c>
      <c r="R298" t="str">
        <f t="shared" si="19"/>
        <v>Priority</v>
      </c>
    </row>
    <row r="299" spans="1:18" x14ac:dyDescent="0.35">
      <c r="A299" t="s">
        <v>376</v>
      </c>
      <c r="B299" s="2">
        <v>46061</v>
      </c>
      <c r="C299" t="s">
        <v>99</v>
      </c>
      <c r="D299" t="s">
        <v>16</v>
      </c>
      <c r="E299" t="s">
        <v>63</v>
      </c>
      <c r="F299" t="s">
        <v>42</v>
      </c>
      <c r="G299" t="s">
        <v>72</v>
      </c>
      <c r="H299" t="s">
        <v>44</v>
      </c>
      <c r="I299">
        <v>5</v>
      </c>
      <c r="J299" s="3">
        <v>194700</v>
      </c>
      <c r="K299" s="4">
        <v>0.05</v>
      </c>
      <c r="L299" s="3">
        <v>152500</v>
      </c>
      <c r="M299" t="s">
        <v>21</v>
      </c>
      <c r="N299" t="s">
        <v>38</v>
      </c>
      <c r="O299" t="str">
        <f t="shared" si="16"/>
        <v>No</v>
      </c>
      <c r="P299" t="str">
        <f t="shared" si="17"/>
        <v>No</v>
      </c>
      <c r="Q299" t="str">
        <f t="shared" si="18"/>
        <v>No</v>
      </c>
      <c r="R299" t="str">
        <f t="shared" si="19"/>
        <v>Normal</v>
      </c>
    </row>
    <row r="300" spans="1:18" x14ac:dyDescent="0.35">
      <c r="A300" t="s">
        <v>377</v>
      </c>
      <c r="B300" s="2">
        <v>46198</v>
      </c>
      <c r="C300" t="s">
        <v>70</v>
      </c>
      <c r="D300" t="s">
        <v>48</v>
      </c>
      <c r="E300" t="s">
        <v>165</v>
      </c>
      <c r="F300" t="s">
        <v>58</v>
      </c>
      <c r="G300" t="s">
        <v>19</v>
      </c>
      <c r="H300" t="s">
        <v>20</v>
      </c>
      <c r="I300">
        <v>7</v>
      </c>
      <c r="J300" s="3">
        <v>81800</v>
      </c>
      <c r="K300" s="4">
        <v>0.2</v>
      </c>
      <c r="L300" s="3">
        <v>41700</v>
      </c>
      <c r="M300" t="s">
        <v>64</v>
      </c>
      <c r="N300" t="s">
        <v>38</v>
      </c>
      <c r="O300" t="str">
        <f t="shared" si="16"/>
        <v>Yes</v>
      </c>
      <c r="P300" t="str">
        <f t="shared" si="17"/>
        <v>No</v>
      </c>
      <c r="Q300" t="str">
        <f t="shared" si="18"/>
        <v>Yes</v>
      </c>
      <c r="R300" t="str">
        <f t="shared" si="19"/>
        <v>Priority</v>
      </c>
    </row>
    <row r="301" spans="1:18" x14ac:dyDescent="0.35">
      <c r="A301" t="s">
        <v>378</v>
      </c>
      <c r="B301" s="2">
        <v>46196</v>
      </c>
      <c r="C301" t="s">
        <v>57</v>
      </c>
      <c r="D301" t="s">
        <v>48</v>
      </c>
      <c r="E301" t="s">
        <v>104</v>
      </c>
      <c r="F301" t="s">
        <v>18</v>
      </c>
      <c r="G301" t="s">
        <v>43</v>
      </c>
      <c r="H301" t="s">
        <v>44</v>
      </c>
      <c r="I301">
        <v>1</v>
      </c>
      <c r="J301" s="3">
        <v>375900</v>
      </c>
      <c r="K301" s="4">
        <v>0.2</v>
      </c>
      <c r="L301" s="3">
        <v>415200</v>
      </c>
      <c r="M301" t="s">
        <v>29</v>
      </c>
      <c r="N301" t="s">
        <v>38</v>
      </c>
      <c r="O301" t="str">
        <f t="shared" si="16"/>
        <v>Yes</v>
      </c>
      <c r="P301" t="str">
        <f t="shared" si="17"/>
        <v>No</v>
      </c>
      <c r="Q301" t="str">
        <f t="shared" si="18"/>
        <v>No</v>
      </c>
      <c r="R301" t="str">
        <f t="shared" si="19"/>
        <v>Priority</v>
      </c>
    </row>
  </sheetData>
  <autoFilter ref="A1:N3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</cp:lastModifiedBy>
  <dcterms:created xsi:type="dcterms:W3CDTF">2026-09-02T22:41:20Z</dcterms:created>
  <dcterms:modified xsi:type="dcterms:W3CDTF">2026-10-11T04:04:12Z</dcterms:modified>
</cp:coreProperties>
</file>